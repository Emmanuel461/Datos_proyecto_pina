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6b088a06617d4fb/Ejercicio 7/Documents/Work/CR/UCR_EA/Proyectos/Salud_del_suelo_pina_papa/Datos/processed/fisico_all_pina/"/>
    </mc:Choice>
  </mc:AlternateContent>
  <xr:revisionPtr revIDLastSave="64" documentId="11_AD4D2F04E46CFB4ACB3E206C0554E324683EDF25" xr6:coauthVersionLast="47" xr6:coauthVersionMax="47" xr10:uidLastSave="{3F8CFB21-6AD9-433A-AC82-DF9C3D4EB847}"/>
  <bookViews>
    <workbookView xWindow="20370" yWindow="-9000" windowWidth="29040" windowHeight="17640" activeTab="2" xr2:uid="{00000000-000D-0000-FFFF-FFFF00000000}"/>
  </bookViews>
  <sheets>
    <sheet name="densidad_porosidad" sheetId="1" r:id="rId1"/>
    <sheet name="textural" sheetId="2" r:id="rId2"/>
    <sheet name="retencion_humeda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3" l="1"/>
  <c r="E6" i="3"/>
  <c r="E5" i="3"/>
  <c r="E4" i="3"/>
  <c r="E3" i="3"/>
  <c r="E2" i="3"/>
  <c r="E2" i="1"/>
  <c r="E3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<sst xmlns="http://schemas.openxmlformats.org/spreadsheetml/2006/main" count="581" uniqueCount="296">
  <si>
    <t>ID USUARIO</t>
  </si>
  <si>
    <t>ID LAB</t>
  </si>
  <si>
    <t>xls_origen</t>
  </si>
  <si>
    <t>PIÑA 1-1</t>
  </si>
  <si>
    <t>RN-26-00425</t>
  </si>
  <si>
    <t>98535 PROYECTO VI-813-C6469 (CIPROC) (RN425-440)</t>
  </si>
  <si>
    <t>PIÑA 1-2</t>
  </si>
  <si>
    <t>RN-26-00426</t>
  </si>
  <si>
    <t>PIÑA 1-3</t>
  </si>
  <si>
    <t>RN-26-00427</t>
  </si>
  <si>
    <t>PIÑA 1-4</t>
  </si>
  <si>
    <t>RN-26-00428</t>
  </si>
  <si>
    <t>PIÑA 1-5</t>
  </si>
  <si>
    <t>RN-26-00429</t>
  </si>
  <si>
    <t>PIÑA 1-6</t>
  </si>
  <si>
    <t>RN-26-00430</t>
  </si>
  <si>
    <t>PIÑA 1-7</t>
  </si>
  <si>
    <t>RN-26-00431</t>
  </si>
  <si>
    <t>PIÑA 1-8</t>
  </si>
  <si>
    <t>RN-26-00432</t>
  </si>
  <si>
    <t>BOSQUE 1-1</t>
  </si>
  <si>
    <t>RN-26-00433</t>
  </si>
  <si>
    <t>BOSQUE 1-2</t>
  </si>
  <si>
    <t>RN-26-00434</t>
  </si>
  <si>
    <t>BOSQUE 1-3</t>
  </si>
  <si>
    <t>RN-26-00435</t>
  </si>
  <si>
    <t>BOSQUE 1-4</t>
  </si>
  <si>
    <t>RN-26-00436</t>
  </si>
  <si>
    <t>BOSQUE 1-5</t>
  </si>
  <si>
    <t>RN-26-00437</t>
  </si>
  <si>
    <t>BOSQUE 1-6</t>
  </si>
  <si>
    <t>RN-26-00438</t>
  </si>
  <si>
    <t>BOSQUE 1-7</t>
  </si>
  <si>
    <t>RN-26-00439</t>
  </si>
  <si>
    <t>BOSQUE 1-8</t>
  </si>
  <si>
    <t>RN-26-00440</t>
  </si>
  <si>
    <t>PIÑA 2 (ALONSO CHACON) R 1</t>
  </si>
  <si>
    <t>RN-26-00899</t>
  </si>
  <si>
    <t>99445 PROYECTO VI-813-C6469 (CIPROC) (RN899-922)</t>
  </si>
  <si>
    <t>PIÑA 2 (ALONSO CHACON) R 2</t>
  </si>
  <si>
    <t>RN-26-00900</t>
  </si>
  <si>
    <t>PIÑA 2 (ALONSO CHACON) R 3</t>
  </si>
  <si>
    <t>RN-26-00901</t>
  </si>
  <si>
    <t>PIÑA 2 (ALONSO CHACON) R 4</t>
  </si>
  <si>
    <t>RN-26-00902</t>
  </si>
  <si>
    <t>PIÑA 2 (ALONSO CHACON) R 5</t>
  </si>
  <si>
    <t>RN-26-00903</t>
  </si>
  <si>
    <t>PIÑA 2 (ALONSO CHACON) R 6</t>
  </si>
  <si>
    <t>RN-26-00904</t>
  </si>
  <si>
    <t>PIÑA 2 (ALONSO CHACON) R 7</t>
  </si>
  <si>
    <t>RN-26-00905</t>
  </si>
  <si>
    <t>PIÑA 2 (ALONSO CHACON) R 8</t>
  </si>
  <si>
    <t>RN-26-00906</t>
  </si>
  <si>
    <t>PIÑA 3 (MISAEL ROJAS) R 1</t>
  </si>
  <si>
    <t>RN-26-00907</t>
  </si>
  <si>
    <t>PIÑA 3 (MISAEL ROJAS) R 2</t>
  </si>
  <si>
    <t>RN-26-00908</t>
  </si>
  <si>
    <t>PIÑA 3 (MISAEL ROJAS) R 3</t>
  </si>
  <si>
    <t>RN-26-00909</t>
  </si>
  <si>
    <t>PIÑA 3 (MISAEL ROJAS) R 4</t>
  </si>
  <si>
    <t>RN-26-00910</t>
  </si>
  <si>
    <t>PIÑA 3 (MISAEL ROJAS) R 5</t>
  </si>
  <si>
    <t>RN-26-00911</t>
  </si>
  <si>
    <t>PIÑA 3 (MISAEL ROJAS) R 6</t>
  </si>
  <si>
    <t>RN-26-00912</t>
  </si>
  <si>
    <t>PIÑA 3 (MISAEL ROJAS) R 7</t>
  </si>
  <si>
    <t>RN-26-00913</t>
  </si>
  <si>
    <t>PIÑA 3 (MISAEL ROJAS) R 8</t>
  </si>
  <si>
    <t>RN-26-00914</t>
  </si>
  <si>
    <t>PIÑA 4 (SERGIO ROJAS) R 1</t>
  </si>
  <si>
    <t>RN-26-00915</t>
  </si>
  <si>
    <t>PIÑA 4 (SERGIO ROJAS) R 2</t>
  </si>
  <si>
    <t>RN-26-00916</t>
  </si>
  <si>
    <t>PIÑA 4 (SERGIO ROJAS) R 3</t>
  </si>
  <si>
    <t>RN-26-00917</t>
  </si>
  <si>
    <t>PIÑA 4 (SERGIO ROJAS) R 4</t>
  </si>
  <si>
    <t>RN-26-00918</t>
  </si>
  <si>
    <t>PIÑA 4 (SERGIO ROJAS) R 5</t>
  </si>
  <si>
    <t>RN-26-00919</t>
  </si>
  <si>
    <t>PIÑA 4 (SERGIO ROJAS) R 6</t>
  </si>
  <si>
    <t>RN-26-00920</t>
  </si>
  <si>
    <t>PIÑA 4 (SERGIO ROJAS) R 7</t>
  </si>
  <si>
    <t>RN-26-00921</t>
  </si>
  <si>
    <t>PIÑA 4 (SERGIO ROJAS) R 8</t>
  </si>
  <si>
    <t>RN-26-00922</t>
  </si>
  <si>
    <t>PIÑA 5 (SERGIO ROJAS)R 1</t>
  </si>
  <si>
    <t>RN-26-00923</t>
  </si>
  <si>
    <t>99446 PROYECTO VI-813-C6469 (CIPROC) (RN923-946)</t>
  </si>
  <si>
    <t>PIÑA 5 (SERGIO ROJAS)R 2</t>
  </si>
  <si>
    <t>RN-26-00924</t>
  </si>
  <si>
    <t>PIÑA 5 (SERGIO ROJAS) R 3</t>
  </si>
  <si>
    <t>RN-26-00925</t>
  </si>
  <si>
    <t>PIÑA 5 (SERGIO ROJAS) R 4</t>
  </si>
  <si>
    <t>RN-26-00926</t>
  </si>
  <si>
    <t>PIÑA 5 (SERGIO ROJAS) R 5</t>
  </si>
  <si>
    <t>RN-26-00927</t>
  </si>
  <si>
    <t>PIÑA 5 (SERGIO ROJAS) R 6</t>
  </si>
  <si>
    <t>RN-26-00928</t>
  </si>
  <si>
    <t>PIÑA 5 (SERGIO ROJAS) R 7</t>
  </si>
  <si>
    <t>RN-26-00929</t>
  </si>
  <si>
    <t>PIÑA 5 (SERGIO ROJAS) R 8</t>
  </si>
  <si>
    <t>RN-26-00930</t>
  </si>
  <si>
    <t>PIÑA 6 (MARVIN ZAMORA) R 1</t>
  </si>
  <si>
    <t>RN-26-00931</t>
  </si>
  <si>
    <t>PIÑA 6 (MARVIN ZAMORA) R 2</t>
  </si>
  <si>
    <t>RN-26-00932</t>
  </si>
  <si>
    <t>PIÑA 6 (MARVIN ZAMORA)R 3</t>
  </si>
  <si>
    <t>RN-26-00933</t>
  </si>
  <si>
    <t>PIÑA 6 (MARVIN ZAMORA)R 4</t>
  </si>
  <si>
    <t>RN-26-00934</t>
  </si>
  <si>
    <t>PIÑA 6 (MARVIN ZAMORA)R 5</t>
  </si>
  <si>
    <t>RN-26-00935</t>
  </si>
  <si>
    <t>PIÑA 6 (MARVIN ZAMORA) R 6</t>
  </si>
  <si>
    <t>RN-26-00936</t>
  </si>
  <si>
    <t>PIÑA 6 (MARVIN ZAMORA) R 7</t>
  </si>
  <si>
    <t>RN-26-00937</t>
  </si>
  <si>
    <t>PIÑA 6 (MARVIN ZAMORA) R 8</t>
  </si>
  <si>
    <t>RN-26-00938</t>
  </si>
  <si>
    <t>PIÑA 7 (ADRIAN RODRIGRUEZ) R 1</t>
  </si>
  <si>
    <t>RN-26-00939</t>
  </si>
  <si>
    <t>PIÑA 7 (ADRIAN RODRIGRUEZ)R 2</t>
  </si>
  <si>
    <t>RN-26-00940</t>
  </si>
  <si>
    <t>PIÑA 7 (ADRIAN RODRIGRUEZ)R 3</t>
  </si>
  <si>
    <t>RN-26-00941</t>
  </si>
  <si>
    <t>PIÑA 7 (ADRIAN RODRIGRUEZ)R 4</t>
  </si>
  <si>
    <t>RN-26-00942</t>
  </si>
  <si>
    <t>PIÑA 7 (ADRIAN RODRIGRUEZ)R 5</t>
  </si>
  <si>
    <t>RN-26-00943</t>
  </si>
  <si>
    <t>PIÑA 7 (ADRIAN RODRIGRUEZ)R 6</t>
  </si>
  <si>
    <t>RN-26-00944</t>
  </si>
  <si>
    <t>PIÑA 7 (ADRIAN RODRIGRUEZ) R 7</t>
  </si>
  <si>
    <t>RN-26-00945</t>
  </si>
  <si>
    <t>PIÑA 7 (ADRIAN RODRIGRUEZ) R 8</t>
  </si>
  <si>
    <t>RN-26-00946</t>
  </si>
  <si>
    <t>PIÑA 8 (SENEN MURILLO)R 1</t>
  </si>
  <si>
    <t>RN-26-00947</t>
  </si>
  <si>
    <t>Piña_Finca8_99447 PROYECTO VI-813-C6469 (CIPROC) (RN947-970)</t>
  </si>
  <si>
    <t>PIÑA 8 (SENEN MURILLO)R 2</t>
  </si>
  <si>
    <t>RN-26-00948</t>
  </si>
  <si>
    <t>PIÑA 8 (SENEN MURILLO)R 3</t>
  </si>
  <si>
    <t>RN-26-00949</t>
  </si>
  <si>
    <t>PIÑA 8 (SENEN MURILLO)R 4</t>
  </si>
  <si>
    <t>RN-26-00950</t>
  </si>
  <si>
    <t>PIÑA 8 (SENEN MURILLO)R 5</t>
  </si>
  <si>
    <t>RN-26-00951</t>
  </si>
  <si>
    <t>PIÑA 8 (SENEN MURILLO) R 6</t>
  </si>
  <si>
    <t>RN-26-00952</t>
  </si>
  <si>
    <t>PIÑA 8 (SENEN MURILLO)R 7</t>
  </si>
  <si>
    <t>RN-26-00953</t>
  </si>
  <si>
    <t>PIÑA 8 (SENEN MURILLO)R 8</t>
  </si>
  <si>
    <t>RN-26-00954</t>
  </si>
  <si>
    <t>BOSQUE 4 (SERGIO ROJAS) R 1</t>
  </si>
  <si>
    <t>RN-26-00971</t>
  </si>
  <si>
    <t>Piña_Bosque4_99448 PROYECTO VI-813-C6469 (CIPROC) (RN971-978)</t>
  </si>
  <si>
    <t>BOSQUE 4 (SERGIO ROJAS) R 2</t>
  </si>
  <si>
    <t>RN-26-00972</t>
  </si>
  <si>
    <t>BOSQUE 4 (SERGIO ROJAS) R 3</t>
  </si>
  <si>
    <t>RN-26-00973</t>
  </si>
  <si>
    <t>BOSQUE 4 (SERGIO ROJAS) R 4</t>
  </si>
  <si>
    <t>RN-26-00974</t>
  </si>
  <si>
    <t>BOSQUE 4 (SERGIO ROJAS) R 5</t>
  </si>
  <si>
    <t>RN-26-00975</t>
  </si>
  <si>
    <t>BOSQUE 4 (SERGIO ROJAS)  R 6</t>
  </si>
  <si>
    <t>RN-26-00976</t>
  </si>
  <si>
    <t>BOSQUE 4 (SERGIO ROJAS) R 7</t>
  </si>
  <si>
    <t>RN-26-00977</t>
  </si>
  <si>
    <t>BOSQUE 4 (SERGIO ROJAS) R 8</t>
  </si>
  <si>
    <t>RN-26-00978</t>
  </si>
  <si>
    <t>BOSQUE 3 (SERGIO ROJAS) R 1</t>
  </si>
  <si>
    <t>RN-26-00963</t>
  </si>
  <si>
    <t>Piña_Bosque3_99447 PROYECTO VI-813-C6469 (CIPROC) (RN947-970)</t>
  </si>
  <si>
    <t>BOSQUE 3 (SERGIO ROJAS)R 2</t>
  </si>
  <si>
    <t>RN-26-00964</t>
  </si>
  <si>
    <t>BOSQUE 3 (SERGIO ROJAS)R 3</t>
  </si>
  <si>
    <t>RN-26-00965</t>
  </si>
  <si>
    <t>BOSQUE 3 (SERGIO ROJAS)R 4</t>
  </si>
  <si>
    <t>RN-26-00966</t>
  </si>
  <si>
    <t>BOSQUE 3 (SERGIO ROJAS)R 5</t>
  </si>
  <si>
    <t>RN-26-00967</t>
  </si>
  <si>
    <t>BOSQUE 3 (SERGIO ROJAS)R 6</t>
  </si>
  <si>
    <t>RN-26-00968</t>
  </si>
  <si>
    <t>BOSQUE 3 (SERGIO ROJAS)R 7</t>
  </si>
  <si>
    <t>RN-26-00969</t>
  </si>
  <si>
    <t>BOSQUE 3 (SERGIO ROJAS) R 8</t>
  </si>
  <si>
    <t>RN-26-00970</t>
  </si>
  <si>
    <t>BOSQUE 2 (MISAEL ROJAS)R 1</t>
  </si>
  <si>
    <t>RN-26-00955</t>
  </si>
  <si>
    <t>Piña_Bosque2_99447 PROYECTO VI-813-C6469 (CIPROC) (RN947-970)</t>
  </si>
  <si>
    <t>BOSQUE 2 (MISAEL ROJAS)R 2</t>
  </si>
  <si>
    <t>RN-26-00956</t>
  </si>
  <si>
    <t>BOSQUE 2 (MISAEL ROJAS)R 3</t>
  </si>
  <si>
    <t>RN-26-00957</t>
  </si>
  <si>
    <t>BOSQUE 2 (MISAEL ROJAS)R 4</t>
  </si>
  <si>
    <t>RN-26-00958</t>
  </si>
  <si>
    <t>BOSQUE 2 (MISAEL ROJAS)R 5</t>
  </si>
  <si>
    <t>RN-26-00959</t>
  </si>
  <si>
    <t>BOSQUE 2 (MISAEL ROJAS)R 6</t>
  </si>
  <si>
    <t>RN-26-00960</t>
  </si>
  <si>
    <t>BOSQUE 2 (MISAEL ROJAS)R 7</t>
  </si>
  <si>
    <t>RN-26-00961</t>
  </si>
  <si>
    <t>BOSQUE 2 (MISAEL ROJAS)  R 8</t>
  </si>
  <si>
    <t>RN-26-00962</t>
  </si>
  <si>
    <t>Densidad aparente (g cm-3)</t>
  </si>
  <si>
    <t>Densidad Particulas (g cm-3)</t>
  </si>
  <si>
    <t>Porosidad (%)</t>
  </si>
  <si>
    <t>RN-26-00441</t>
  </si>
  <si>
    <t>Arcilloso</t>
  </si>
  <si>
    <t>98536 PROYECTO VI-813-C6469 (CIPROC) (RN441-446)</t>
  </si>
  <si>
    <t>RN-26-00442</t>
  </si>
  <si>
    <t>RN-26-00443</t>
  </si>
  <si>
    <t>RN-26-00444</t>
  </si>
  <si>
    <t>RN-26-00445</t>
  </si>
  <si>
    <t>RN-26-00446</t>
  </si>
  <si>
    <t>PIÑA 2 (ALONSO CHACON) R1</t>
  </si>
  <si>
    <t>RN-26-00869</t>
  </si>
  <si>
    <t>99444 PROYECTO VI-813-C6469 (CIPROC) (RN869-898)</t>
  </si>
  <si>
    <t>PIÑA 2 (ALONSO CHACON) R2</t>
  </si>
  <si>
    <t>RN-26-00870</t>
  </si>
  <si>
    <t>PIÑA 2 (ALONSO CHACON) R3</t>
  </si>
  <si>
    <t>RN-26-00871</t>
  </si>
  <si>
    <t>PIÑA 3 (MISAEL ROJAS) R1</t>
  </si>
  <si>
    <t>RN-26-00872</t>
  </si>
  <si>
    <t>PIÑA 3 (MISAEL ROJAS) R2</t>
  </si>
  <si>
    <t>RN-26-00873</t>
  </si>
  <si>
    <t>PIÑA 3 (MISAEL ROJAS) R3</t>
  </si>
  <si>
    <t>RN-26-00874</t>
  </si>
  <si>
    <t>PIÑA 4 (SERGIO ROJAS) R1</t>
  </si>
  <si>
    <t>RN-26-00875</t>
  </si>
  <si>
    <t>PIÑA 4 (SERGIO ROJAS) R2</t>
  </si>
  <si>
    <t>RN-26-00876</t>
  </si>
  <si>
    <t>PIÑA 4 (SERGIO ROJAS) R3</t>
  </si>
  <si>
    <t>RN-26-00877</t>
  </si>
  <si>
    <t>PIÑA 5 (SERGIO ROJAS) R1</t>
  </si>
  <si>
    <t>RN-26-00878</t>
  </si>
  <si>
    <t>PIÑA 5 (SERGIO ROJAS) R2</t>
  </si>
  <si>
    <t>RN-26-00879</t>
  </si>
  <si>
    <t>PIÑA 5 (SERGIO ROJAS) R3</t>
  </si>
  <si>
    <t>RN-26-00880</t>
  </si>
  <si>
    <t>PIÑA 6 (MARVIN ZAMORA) R1</t>
  </si>
  <si>
    <t>RN-26-00881</t>
  </si>
  <si>
    <t>PIÑA 6 (MARVIN ZAMORA) R2</t>
  </si>
  <si>
    <t>RN-26-00882</t>
  </si>
  <si>
    <t>PIÑA 6 (MARVIN ZAMORA) R3</t>
  </si>
  <si>
    <t>RN-26-00883</t>
  </si>
  <si>
    <t>PIÑA 7 (ADRIAN RODRIGRUEZ) R1</t>
  </si>
  <si>
    <t>RN-26-00884</t>
  </si>
  <si>
    <t>PIÑA 7 (ADRIAN RODRIGRUEZ) R2</t>
  </si>
  <si>
    <t>RN-26-00885</t>
  </si>
  <si>
    <t>PIÑA 7 (ADRIAN RODRIGRUEZ) R3</t>
  </si>
  <si>
    <t>RN-26-00886</t>
  </si>
  <si>
    <t>PIÑA 8 (SENEN MURILLO) R1</t>
  </si>
  <si>
    <t>RN-26-00887</t>
  </si>
  <si>
    <t>PIÑA 8 (SENEN MURILLO) R2</t>
  </si>
  <si>
    <t>RN-26-00888</t>
  </si>
  <si>
    <t>PIÑA 8 (SENEN MURILLO) R3</t>
  </si>
  <si>
    <t>RN-26-00889</t>
  </si>
  <si>
    <t>BOSQUE 2 (MISAEL ROJAS) R1</t>
  </si>
  <si>
    <t>RN-26-00890</t>
  </si>
  <si>
    <t>BOSQUE 2 (MISAEL ROJAS) R2</t>
  </si>
  <si>
    <t>RN-26-00891</t>
  </si>
  <si>
    <t>BOSQUE 2 (MISAEL ROJAS) R3</t>
  </si>
  <si>
    <t>RN-26-00892</t>
  </si>
  <si>
    <t>BOSQUE 3 (SERGIO ROJAS) R1</t>
  </si>
  <si>
    <t>RN-26-00893</t>
  </si>
  <si>
    <t>BOSQUE 3 (SERGIO ROJAS) R2</t>
  </si>
  <si>
    <t>RN-26-00894</t>
  </si>
  <si>
    <t>BOSQUE 3 (SERGIO ROJAS) R3</t>
  </si>
  <si>
    <t>RN-26-00895</t>
  </si>
  <si>
    <t>BOSQUE 4 (SERGIO ROJAS) R1</t>
  </si>
  <si>
    <t>RN-26-00896</t>
  </si>
  <si>
    <t>BOSQUE 4 (SERGIO ROJAS) R2</t>
  </si>
  <si>
    <t>RN-26-00897</t>
  </si>
  <si>
    <t>BOSQUE 4 (SERGIO ROJAS) R3</t>
  </si>
  <si>
    <t>RN-26-00898</t>
  </si>
  <si>
    <t>Piña_Finca8_99444 PROYECTO VI-813-C6469 (CIPROC) (RN869-898)</t>
  </si>
  <si>
    <t>Estabilidad de agregados (%)</t>
  </si>
  <si>
    <t>Clase textural (%)</t>
  </si>
  <si>
    <t>ARCILLA (%)</t>
  </si>
  <si>
    <t>LIMO (%)</t>
  </si>
  <si>
    <t>ARENA (%)</t>
  </si>
  <si>
    <t>PIÑA 1 (VICTOR TREJOS) R1</t>
  </si>
  <si>
    <t>RN-26-00863</t>
  </si>
  <si>
    <t>99443 PROYECTO VI-813-C6469 (CIPROC) (RN863-868)</t>
  </si>
  <si>
    <t>PIÑA 1 (VICTOR TREJOS) R2</t>
  </si>
  <si>
    <t>RN-26-00864</t>
  </si>
  <si>
    <t>PIÑA 1 (VICTOR TREJOS) R3</t>
  </si>
  <si>
    <t>RN-26-00865</t>
  </si>
  <si>
    <t>BOSQUE 1  - R1</t>
  </si>
  <si>
    <t>RN-26-00866</t>
  </si>
  <si>
    <t>BOSQUE 1  - R2</t>
  </si>
  <si>
    <t>RN-26-00867</t>
  </si>
  <si>
    <t>BOSQUE 1  - R3</t>
  </si>
  <si>
    <t>RN-26-00868</t>
  </si>
  <si>
    <t>Humedad gravimétrica (%) (0,33 bar)</t>
  </si>
  <si>
    <t>Humedad gravimétrica (%) (15 bar)</t>
  </si>
  <si>
    <t>Agua útil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</si>
</sst>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</cellStyleXfs>
  <cellXfs count="3">
    <xf numFmtId="0" fontId="0" fillId="0" borderId="0" xfId="0"/>
    <xf numFmtId="0" fontId="1" fillId="0" borderId="0" xfId="0" applyFont="1"/>
    <xf numFmtId="49" fontId="2" fillId="0" borderId="0" xfId="0" applyNumberFormat="1" applyFont="1"/>
  </cellXfs>
  <cellStyles count="4">
    <cellStyle name="Normal" xfId="0" builtinId="0"/>
    <cellStyle name="Normal 2 2" xfId="1" xr:uid="{87688073-0D94-4A9C-981F-8D1287F3C35A}"/>
    <cellStyle name="Normal 2 3" xfId="3" xr:uid="{89B2A9B2-4AA3-47F3-B0CE-550A3770C613}"/>
    <cellStyle name="Normal 3" xfId="2" xr:uid="{D0E15E69-70B0-43B6-8909-D8E070DABA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workbookViewId="0">
      <selection activeCell="G15" sqref="G15"/>
    </sheetView>
  </sheetViews>
  <sheetFormatPr baseColWidth="10" defaultColWidth="9.140625" defaultRowHeight="15" x14ac:dyDescent="0.25"/>
  <cols>
    <col min="1" max="1" width="30.85546875" bestFit="1" customWidth="1"/>
    <col min="2" max="2" width="10.42578125" bestFit="1" customWidth="1"/>
    <col min="3" max="3" width="25.5703125" bestFit="1" customWidth="1"/>
    <col min="4" max="4" width="26.140625" bestFit="1" customWidth="1"/>
    <col min="5" max="5" width="13.28515625" bestFit="1" customWidth="1"/>
    <col min="6" max="6" width="61.85546875" bestFit="1" customWidth="1"/>
  </cols>
  <sheetData>
    <row r="1" spans="1:7" x14ac:dyDescent="0.25">
      <c r="A1" t="s">
        <v>0</v>
      </c>
      <c r="B1" t="s">
        <v>1</v>
      </c>
      <c r="C1" t="s">
        <v>202</v>
      </c>
      <c r="D1" t="s">
        <v>203</v>
      </c>
      <c r="E1" t="s">
        <v>204</v>
      </c>
      <c r="F1" t="s">
        <v>2</v>
      </c>
      <c r="G1" s="1"/>
    </row>
    <row r="2" spans="1:7" x14ac:dyDescent="0.25">
      <c r="A2" t="s">
        <v>3</v>
      </c>
      <c r="B2" t="s">
        <v>4</v>
      </c>
      <c r="C2">
        <v>0.77</v>
      </c>
      <c r="D2">
        <v>2.58</v>
      </c>
      <c r="E2">
        <f>+(1-(C2/D2))*100</f>
        <v>70.15503875968993</v>
      </c>
      <c r="F2" t="s">
        <v>5</v>
      </c>
      <c r="G2" s="1"/>
    </row>
    <row r="3" spans="1:7" x14ac:dyDescent="0.25">
      <c r="A3" t="s">
        <v>6</v>
      </c>
      <c r="B3" t="s">
        <v>7</v>
      </c>
      <c r="C3">
        <v>0.83</v>
      </c>
      <c r="D3">
        <v>2.56</v>
      </c>
      <c r="E3">
        <f>+(1-(C3/D3))*100</f>
        <v>67.578125</v>
      </c>
      <c r="F3" t="s">
        <v>5</v>
      </c>
      <c r="G3" s="1"/>
    </row>
    <row r="4" spans="1:7" x14ac:dyDescent="0.25">
      <c r="A4" t="s">
        <v>8</v>
      </c>
      <c r="B4" t="s">
        <v>9</v>
      </c>
      <c r="C4">
        <v>0.76</v>
      </c>
      <c r="D4">
        <v>2.67</v>
      </c>
      <c r="E4">
        <f t="shared" ref="E4:E15" si="0">+(1-(C4/D4))*100</f>
        <v>71.535580524344567</v>
      </c>
      <c r="F4" t="s">
        <v>5</v>
      </c>
      <c r="G4" s="1"/>
    </row>
    <row r="5" spans="1:7" x14ac:dyDescent="0.25">
      <c r="A5" t="s">
        <v>10</v>
      </c>
      <c r="B5" t="s">
        <v>11</v>
      </c>
      <c r="C5">
        <v>0.74</v>
      </c>
      <c r="D5">
        <v>2.58</v>
      </c>
      <c r="E5">
        <f t="shared" si="0"/>
        <v>71.31782945736434</v>
      </c>
      <c r="F5" t="s">
        <v>5</v>
      </c>
      <c r="G5" s="1"/>
    </row>
    <row r="6" spans="1:7" x14ac:dyDescent="0.25">
      <c r="A6" t="s">
        <v>12</v>
      </c>
      <c r="B6" t="s">
        <v>13</v>
      </c>
      <c r="C6">
        <v>0.82</v>
      </c>
      <c r="D6">
        <v>2.5499999999999998</v>
      </c>
      <c r="E6">
        <f t="shared" si="0"/>
        <v>67.843137254901961</v>
      </c>
      <c r="F6" t="s">
        <v>5</v>
      </c>
      <c r="G6" s="1"/>
    </row>
    <row r="7" spans="1:7" ht="15" customHeight="1" x14ac:dyDescent="0.25">
      <c r="A7" t="s">
        <v>14</v>
      </c>
      <c r="B7" t="s">
        <v>15</v>
      </c>
      <c r="C7">
        <v>0.75</v>
      </c>
      <c r="D7">
        <v>2.52</v>
      </c>
      <c r="E7">
        <f t="shared" si="0"/>
        <v>70.238095238095227</v>
      </c>
      <c r="F7" t="s">
        <v>5</v>
      </c>
      <c r="G7" s="1"/>
    </row>
    <row r="8" spans="1:7" x14ac:dyDescent="0.25">
      <c r="A8" t="s">
        <v>16</v>
      </c>
      <c r="B8" t="s">
        <v>17</v>
      </c>
      <c r="C8">
        <v>0.68</v>
      </c>
      <c r="D8">
        <v>2.5499999999999998</v>
      </c>
      <c r="E8">
        <f t="shared" si="0"/>
        <v>73.333333333333329</v>
      </c>
      <c r="F8" t="s">
        <v>5</v>
      </c>
      <c r="G8" s="1"/>
    </row>
    <row r="9" spans="1:7" x14ac:dyDescent="0.25">
      <c r="A9" t="s">
        <v>18</v>
      </c>
      <c r="B9" t="s">
        <v>19</v>
      </c>
      <c r="C9">
        <v>0.76</v>
      </c>
      <c r="D9">
        <v>2.62</v>
      </c>
      <c r="E9">
        <f t="shared" si="0"/>
        <v>70.992366412213741</v>
      </c>
      <c r="F9" t="s">
        <v>5</v>
      </c>
      <c r="G9" s="1"/>
    </row>
    <row r="10" spans="1:7" x14ac:dyDescent="0.25">
      <c r="A10" t="s">
        <v>20</v>
      </c>
      <c r="B10" t="s">
        <v>21</v>
      </c>
      <c r="C10">
        <v>0.95</v>
      </c>
      <c r="D10">
        <v>2.69</v>
      </c>
      <c r="E10">
        <f t="shared" si="0"/>
        <v>64.684014869888486</v>
      </c>
      <c r="F10" t="s">
        <v>5</v>
      </c>
      <c r="G10" s="1"/>
    </row>
    <row r="11" spans="1:7" x14ac:dyDescent="0.25">
      <c r="A11" t="s">
        <v>22</v>
      </c>
      <c r="B11" t="s">
        <v>23</v>
      </c>
      <c r="C11">
        <v>0.79</v>
      </c>
      <c r="D11">
        <v>2.74</v>
      </c>
      <c r="E11">
        <f t="shared" si="0"/>
        <v>71.167883211678841</v>
      </c>
      <c r="F11" t="s">
        <v>5</v>
      </c>
      <c r="G11" s="1"/>
    </row>
    <row r="12" spans="1:7" x14ac:dyDescent="0.25">
      <c r="A12" t="s">
        <v>24</v>
      </c>
      <c r="B12" t="s">
        <v>25</v>
      </c>
      <c r="C12">
        <v>0.84</v>
      </c>
      <c r="D12">
        <v>2.69</v>
      </c>
      <c r="E12">
        <f t="shared" si="0"/>
        <v>68.773234200743488</v>
      </c>
      <c r="F12" t="s">
        <v>5</v>
      </c>
      <c r="G12" s="1"/>
    </row>
    <row r="13" spans="1:7" x14ac:dyDescent="0.25">
      <c r="A13" t="s">
        <v>26</v>
      </c>
      <c r="B13" t="s">
        <v>27</v>
      </c>
      <c r="C13">
        <v>0.92</v>
      </c>
      <c r="D13">
        <v>2.73</v>
      </c>
      <c r="E13">
        <f t="shared" si="0"/>
        <v>66.300366300366292</v>
      </c>
      <c r="F13" t="s">
        <v>5</v>
      </c>
      <c r="G13" s="1"/>
    </row>
    <row r="14" spans="1:7" x14ac:dyDescent="0.25">
      <c r="A14" t="s">
        <v>28</v>
      </c>
      <c r="B14" t="s">
        <v>29</v>
      </c>
      <c r="C14">
        <v>0.74</v>
      </c>
      <c r="D14">
        <v>2.7</v>
      </c>
      <c r="E14">
        <f t="shared" si="0"/>
        <v>72.592592592592595</v>
      </c>
      <c r="F14" t="s">
        <v>5</v>
      </c>
      <c r="G14" s="1"/>
    </row>
    <row r="15" spans="1:7" x14ac:dyDescent="0.25">
      <c r="A15" t="s">
        <v>30</v>
      </c>
      <c r="B15" t="s">
        <v>31</v>
      </c>
      <c r="C15">
        <v>0.82</v>
      </c>
      <c r="D15">
        <v>2.73</v>
      </c>
      <c r="E15">
        <f t="shared" si="0"/>
        <v>69.963369963369956</v>
      </c>
      <c r="F15" t="s">
        <v>5</v>
      </c>
      <c r="G15" s="1"/>
    </row>
    <row r="16" spans="1:7" x14ac:dyDescent="0.25">
      <c r="A16" t="s">
        <v>32</v>
      </c>
      <c r="B16" t="s">
        <v>33</v>
      </c>
      <c r="C16">
        <v>0.92</v>
      </c>
      <c r="D16">
        <v>2.65</v>
      </c>
      <c r="E16">
        <f>+(1-(C16/D16))*100</f>
        <v>65.283018867924525</v>
      </c>
      <c r="F16" t="s">
        <v>5</v>
      </c>
      <c r="G16" s="1"/>
    </row>
    <row r="17" spans="1:7" x14ac:dyDescent="0.25">
      <c r="A17" t="s">
        <v>34</v>
      </c>
      <c r="B17" t="s">
        <v>35</v>
      </c>
      <c r="C17">
        <v>0.87</v>
      </c>
      <c r="D17">
        <v>2.73</v>
      </c>
      <c r="E17">
        <f>+(1-(C17/D17))*100</f>
        <v>68.131868131868131</v>
      </c>
      <c r="F17" t="s">
        <v>5</v>
      </c>
      <c r="G17" s="1"/>
    </row>
    <row r="18" spans="1:7" x14ac:dyDescent="0.25">
      <c r="A18" t="s">
        <v>36</v>
      </c>
      <c r="B18" t="s">
        <v>37</v>
      </c>
      <c r="C18">
        <v>0.97</v>
      </c>
      <c r="D18">
        <v>2.4700000000000002</v>
      </c>
      <c r="E18">
        <f>+(1-(C18/D18))*100</f>
        <v>60.728744939271259</v>
      </c>
      <c r="F18" t="s">
        <v>38</v>
      </c>
      <c r="G18" s="2"/>
    </row>
    <row r="19" spans="1:7" x14ac:dyDescent="0.25">
      <c r="A19" t="s">
        <v>39</v>
      </c>
      <c r="B19" t="s">
        <v>40</v>
      </c>
      <c r="C19">
        <v>0.96</v>
      </c>
      <c r="D19">
        <v>2.5099999999999998</v>
      </c>
      <c r="E19">
        <f t="shared" ref="E19:E32" si="1">+(1-(C19/D19))*100</f>
        <v>61.752988047808763</v>
      </c>
      <c r="F19" t="s">
        <v>38</v>
      </c>
      <c r="G19" s="2"/>
    </row>
    <row r="20" spans="1:7" x14ac:dyDescent="0.25">
      <c r="A20" t="s">
        <v>41</v>
      </c>
      <c r="B20" t="s">
        <v>42</v>
      </c>
      <c r="C20">
        <v>0.95</v>
      </c>
      <c r="D20">
        <v>2.5299999999999998</v>
      </c>
      <c r="E20">
        <f t="shared" si="1"/>
        <v>62.450592885375485</v>
      </c>
      <c r="F20" t="s">
        <v>38</v>
      </c>
      <c r="G20" s="2"/>
    </row>
    <row r="21" spans="1:7" x14ac:dyDescent="0.25">
      <c r="A21" t="s">
        <v>43</v>
      </c>
      <c r="B21" t="s">
        <v>44</v>
      </c>
      <c r="C21">
        <v>0.96</v>
      </c>
      <c r="D21">
        <v>2.48</v>
      </c>
      <c r="E21">
        <f t="shared" si="1"/>
        <v>61.29032258064516</v>
      </c>
      <c r="F21" t="s">
        <v>38</v>
      </c>
      <c r="G21" s="2"/>
    </row>
    <row r="22" spans="1:7" x14ac:dyDescent="0.25">
      <c r="A22" t="s">
        <v>45</v>
      </c>
      <c r="B22" t="s">
        <v>46</v>
      </c>
      <c r="C22">
        <v>0.95</v>
      </c>
      <c r="D22">
        <v>2.5099999999999998</v>
      </c>
      <c r="E22">
        <f t="shared" si="1"/>
        <v>62.151394422310759</v>
      </c>
      <c r="F22" t="s">
        <v>38</v>
      </c>
      <c r="G22" s="2"/>
    </row>
    <row r="23" spans="1:7" x14ac:dyDescent="0.25">
      <c r="A23" t="s">
        <v>47</v>
      </c>
      <c r="B23" t="s">
        <v>48</v>
      </c>
      <c r="C23">
        <v>0.94</v>
      </c>
      <c r="D23">
        <v>2.4900000000000002</v>
      </c>
      <c r="E23">
        <f t="shared" si="1"/>
        <v>62.24899598393575</v>
      </c>
      <c r="F23" t="s">
        <v>38</v>
      </c>
      <c r="G23" s="2"/>
    </row>
    <row r="24" spans="1:7" x14ac:dyDescent="0.25">
      <c r="A24" t="s">
        <v>49</v>
      </c>
      <c r="B24" t="s">
        <v>50</v>
      </c>
      <c r="C24">
        <v>0.87</v>
      </c>
      <c r="D24">
        <v>2.5299999999999998</v>
      </c>
      <c r="E24">
        <f t="shared" si="1"/>
        <v>65.612648221343875</v>
      </c>
      <c r="F24" t="s">
        <v>38</v>
      </c>
      <c r="G24" s="2"/>
    </row>
    <row r="25" spans="1:7" x14ac:dyDescent="0.25">
      <c r="A25" t="s">
        <v>51</v>
      </c>
      <c r="B25" t="s">
        <v>52</v>
      </c>
      <c r="C25">
        <v>0.91</v>
      </c>
      <c r="D25">
        <v>2.54</v>
      </c>
      <c r="E25">
        <f t="shared" si="1"/>
        <v>64.173228346456696</v>
      </c>
      <c r="F25" t="s">
        <v>38</v>
      </c>
      <c r="G25" s="2"/>
    </row>
    <row r="26" spans="1:7" x14ac:dyDescent="0.25">
      <c r="A26" t="s">
        <v>53</v>
      </c>
      <c r="B26" t="s">
        <v>54</v>
      </c>
      <c r="C26">
        <v>0.9</v>
      </c>
      <c r="D26">
        <v>2.57</v>
      </c>
      <c r="E26">
        <f t="shared" si="1"/>
        <v>64.980544747081709</v>
      </c>
      <c r="F26" t="s">
        <v>38</v>
      </c>
      <c r="G26" s="2"/>
    </row>
    <row r="27" spans="1:7" x14ac:dyDescent="0.25">
      <c r="A27" t="s">
        <v>55</v>
      </c>
      <c r="B27" t="s">
        <v>56</v>
      </c>
      <c r="C27">
        <v>0.88</v>
      </c>
      <c r="D27">
        <v>2.56</v>
      </c>
      <c r="E27">
        <f t="shared" si="1"/>
        <v>65.625</v>
      </c>
      <c r="F27" t="s">
        <v>38</v>
      </c>
      <c r="G27" s="2"/>
    </row>
    <row r="28" spans="1:7" x14ac:dyDescent="0.25">
      <c r="A28" t="s">
        <v>57</v>
      </c>
      <c r="B28" t="s">
        <v>58</v>
      </c>
      <c r="C28">
        <v>0.9</v>
      </c>
      <c r="D28">
        <v>2.57</v>
      </c>
      <c r="E28">
        <f t="shared" si="1"/>
        <v>64.980544747081709</v>
      </c>
      <c r="F28" t="s">
        <v>38</v>
      </c>
      <c r="G28" s="2"/>
    </row>
    <row r="29" spans="1:7" x14ac:dyDescent="0.25">
      <c r="A29" t="s">
        <v>59</v>
      </c>
      <c r="B29" t="s">
        <v>60</v>
      </c>
      <c r="C29">
        <v>0.84</v>
      </c>
      <c r="D29">
        <v>2.54</v>
      </c>
      <c r="E29">
        <f t="shared" si="1"/>
        <v>66.929133858267718</v>
      </c>
      <c r="F29" t="s">
        <v>38</v>
      </c>
      <c r="G29" s="2"/>
    </row>
    <row r="30" spans="1:7" x14ac:dyDescent="0.25">
      <c r="A30" t="s">
        <v>61</v>
      </c>
      <c r="B30" t="s">
        <v>62</v>
      </c>
      <c r="C30">
        <v>0.98</v>
      </c>
      <c r="D30">
        <v>2.59</v>
      </c>
      <c r="E30">
        <f t="shared" si="1"/>
        <v>62.162162162162161</v>
      </c>
      <c r="F30" t="s">
        <v>38</v>
      </c>
      <c r="G30" s="2"/>
    </row>
    <row r="31" spans="1:7" x14ac:dyDescent="0.25">
      <c r="A31" t="s">
        <v>63</v>
      </c>
      <c r="B31" t="s">
        <v>64</v>
      </c>
      <c r="C31">
        <v>0.92</v>
      </c>
      <c r="D31">
        <v>2.57</v>
      </c>
      <c r="E31">
        <f t="shared" si="1"/>
        <v>64.202334630350194</v>
      </c>
      <c r="F31" t="s">
        <v>38</v>
      </c>
      <c r="G31" s="2"/>
    </row>
    <row r="32" spans="1:7" x14ac:dyDescent="0.25">
      <c r="A32" t="s">
        <v>65</v>
      </c>
      <c r="B32" t="s">
        <v>66</v>
      </c>
      <c r="C32">
        <v>0.85</v>
      </c>
      <c r="D32">
        <v>2.58</v>
      </c>
      <c r="E32">
        <f t="shared" si="1"/>
        <v>67.054263565891475</v>
      </c>
      <c r="F32" t="s">
        <v>38</v>
      </c>
      <c r="G32" s="2"/>
    </row>
    <row r="33" spans="1:7" x14ac:dyDescent="0.25">
      <c r="A33" t="s">
        <v>67</v>
      </c>
      <c r="B33" t="s">
        <v>68</v>
      </c>
      <c r="C33">
        <v>0.86</v>
      </c>
      <c r="D33">
        <v>2.5499999999999998</v>
      </c>
      <c r="E33">
        <f>+(1-(C33/D33))*100</f>
        <v>66.274509803921561</v>
      </c>
      <c r="F33" t="s">
        <v>38</v>
      </c>
      <c r="G33" s="2"/>
    </row>
    <row r="34" spans="1:7" x14ac:dyDescent="0.25">
      <c r="A34" t="s">
        <v>69</v>
      </c>
      <c r="B34" t="s">
        <v>70</v>
      </c>
      <c r="C34">
        <v>0.83</v>
      </c>
      <c r="D34">
        <v>2.6</v>
      </c>
      <c r="E34">
        <f t="shared" ref="E34:E41" si="2">+(1-(C34/D34))*100</f>
        <v>68.07692307692308</v>
      </c>
      <c r="F34" t="s">
        <v>38</v>
      </c>
      <c r="G34" s="2"/>
    </row>
    <row r="35" spans="1:7" x14ac:dyDescent="0.25">
      <c r="A35" t="s">
        <v>71</v>
      </c>
      <c r="B35" t="s">
        <v>72</v>
      </c>
      <c r="C35">
        <v>0.91</v>
      </c>
      <c r="D35">
        <v>2.4900000000000002</v>
      </c>
      <c r="E35">
        <f t="shared" si="2"/>
        <v>63.453815261044177</v>
      </c>
      <c r="F35" t="s">
        <v>38</v>
      </c>
      <c r="G35" s="2"/>
    </row>
    <row r="36" spans="1:7" x14ac:dyDescent="0.25">
      <c r="A36" t="s">
        <v>73</v>
      </c>
      <c r="B36" t="s">
        <v>74</v>
      </c>
      <c r="C36">
        <v>1</v>
      </c>
      <c r="D36">
        <v>2.4500000000000002</v>
      </c>
      <c r="E36">
        <f t="shared" si="2"/>
        <v>59.183673469387756</v>
      </c>
      <c r="F36" t="s">
        <v>38</v>
      </c>
      <c r="G36" s="2"/>
    </row>
    <row r="37" spans="1:7" x14ac:dyDescent="0.25">
      <c r="A37" t="s">
        <v>75</v>
      </c>
      <c r="B37" t="s">
        <v>76</v>
      </c>
      <c r="C37">
        <v>1</v>
      </c>
      <c r="D37">
        <v>2.4700000000000002</v>
      </c>
      <c r="E37">
        <f t="shared" si="2"/>
        <v>59.514170040485823</v>
      </c>
      <c r="F37" t="s">
        <v>38</v>
      </c>
      <c r="G37" s="2"/>
    </row>
    <row r="38" spans="1:7" x14ac:dyDescent="0.25">
      <c r="A38" t="s">
        <v>77</v>
      </c>
      <c r="B38" t="s">
        <v>78</v>
      </c>
      <c r="C38">
        <v>0.86</v>
      </c>
      <c r="D38">
        <v>2.4900000000000002</v>
      </c>
      <c r="E38">
        <f t="shared" si="2"/>
        <v>65.46184738955823</v>
      </c>
      <c r="F38" t="s">
        <v>38</v>
      </c>
      <c r="G38" s="2"/>
    </row>
    <row r="39" spans="1:7" x14ac:dyDescent="0.25">
      <c r="A39" t="s">
        <v>79</v>
      </c>
      <c r="B39" t="s">
        <v>80</v>
      </c>
      <c r="C39">
        <v>0.9</v>
      </c>
      <c r="D39">
        <v>2.4700000000000002</v>
      </c>
      <c r="E39">
        <f t="shared" si="2"/>
        <v>63.56275303643725</v>
      </c>
      <c r="F39" t="s">
        <v>38</v>
      </c>
      <c r="G39" s="2"/>
    </row>
    <row r="40" spans="1:7" x14ac:dyDescent="0.25">
      <c r="A40" t="s">
        <v>81</v>
      </c>
      <c r="B40" t="s">
        <v>82</v>
      </c>
      <c r="C40">
        <v>0.95</v>
      </c>
      <c r="D40">
        <v>2.4900000000000002</v>
      </c>
      <c r="E40">
        <f t="shared" si="2"/>
        <v>61.847389558232933</v>
      </c>
      <c r="F40" t="s">
        <v>38</v>
      </c>
      <c r="G40" s="2"/>
    </row>
    <row r="41" spans="1:7" x14ac:dyDescent="0.25">
      <c r="A41" t="s">
        <v>83</v>
      </c>
      <c r="B41" t="s">
        <v>84</v>
      </c>
      <c r="C41">
        <v>0.96</v>
      </c>
      <c r="D41">
        <v>2.4700000000000002</v>
      </c>
      <c r="E41">
        <f t="shared" si="2"/>
        <v>61.133603238866407</v>
      </c>
      <c r="F41" t="s">
        <v>38</v>
      </c>
      <c r="G41" s="1"/>
    </row>
    <row r="42" spans="1:7" x14ac:dyDescent="0.25">
      <c r="A42" t="s">
        <v>85</v>
      </c>
      <c r="B42" t="s">
        <v>86</v>
      </c>
      <c r="C42">
        <v>0.92</v>
      </c>
      <c r="D42">
        <v>2.6</v>
      </c>
      <c r="E42">
        <f>+(1-(C42/D42))*100</f>
        <v>64.615384615384613</v>
      </c>
      <c r="F42" t="s">
        <v>87</v>
      </c>
      <c r="G42" s="1"/>
    </row>
    <row r="43" spans="1:7" x14ac:dyDescent="0.25">
      <c r="A43" t="s">
        <v>88</v>
      </c>
      <c r="B43" t="s">
        <v>89</v>
      </c>
      <c r="C43">
        <v>0.94</v>
      </c>
      <c r="D43">
        <v>2.61</v>
      </c>
      <c r="E43">
        <f t="shared" ref="E43:E65" si="3">+(1-(C43/D43))*100</f>
        <v>63.984674329501921</v>
      </c>
      <c r="F43" t="s">
        <v>87</v>
      </c>
      <c r="G43" s="1"/>
    </row>
    <row r="44" spans="1:7" x14ac:dyDescent="0.25">
      <c r="A44" t="s">
        <v>90</v>
      </c>
      <c r="B44" t="s">
        <v>91</v>
      </c>
      <c r="C44">
        <v>0.85</v>
      </c>
      <c r="D44">
        <v>2.62</v>
      </c>
      <c r="E44">
        <f t="shared" si="3"/>
        <v>67.55725190839695</v>
      </c>
      <c r="F44" t="s">
        <v>87</v>
      </c>
      <c r="G44" s="1"/>
    </row>
    <row r="45" spans="1:7" x14ac:dyDescent="0.25">
      <c r="A45" t="s">
        <v>92</v>
      </c>
      <c r="B45" t="s">
        <v>93</v>
      </c>
      <c r="C45">
        <v>0.86</v>
      </c>
      <c r="D45">
        <v>2.62</v>
      </c>
      <c r="E45">
        <f t="shared" si="3"/>
        <v>67.175572519083971</v>
      </c>
      <c r="F45" t="s">
        <v>87</v>
      </c>
      <c r="G45" s="1"/>
    </row>
    <row r="46" spans="1:7" x14ac:dyDescent="0.25">
      <c r="A46" t="s">
        <v>94</v>
      </c>
      <c r="B46" t="s">
        <v>95</v>
      </c>
      <c r="C46">
        <v>0.82</v>
      </c>
      <c r="D46">
        <v>2.56</v>
      </c>
      <c r="E46">
        <f t="shared" si="3"/>
        <v>67.96875</v>
      </c>
      <c r="F46" t="s">
        <v>87</v>
      </c>
      <c r="G46" s="1"/>
    </row>
    <row r="47" spans="1:7" x14ac:dyDescent="0.25">
      <c r="A47" t="s">
        <v>96</v>
      </c>
      <c r="B47" t="s">
        <v>97</v>
      </c>
      <c r="C47">
        <v>0.84</v>
      </c>
      <c r="D47">
        <v>2.62</v>
      </c>
      <c r="E47">
        <f t="shared" si="3"/>
        <v>67.938931297709928</v>
      </c>
      <c r="F47" t="s">
        <v>87</v>
      </c>
      <c r="G47" s="1"/>
    </row>
    <row r="48" spans="1:7" x14ac:dyDescent="0.25">
      <c r="A48" t="s">
        <v>98</v>
      </c>
      <c r="B48" t="s">
        <v>99</v>
      </c>
      <c r="C48">
        <v>0.89</v>
      </c>
      <c r="D48">
        <v>2.6</v>
      </c>
      <c r="E48">
        <f t="shared" si="3"/>
        <v>65.769230769230774</v>
      </c>
      <c r="F48" t="s">
        <v>87</v>
      </c>
      <c r="G48" s="1"/>
    </row>
    <row r="49" spans="1:7" x14ac:dyDescent="0.25">
      <c r="A49" t="s">
        <v>100</v>
      </c>
      <c r="B49" t="s">
        <v>101</v>
      </c>
      <c r="C49">
        <v>0.88</v>
      </c>
      <c r="D49">
        <v>2.62</v>
      </c>
      <c r="E49">
        <f t="shared" si="3"/>
        <v>66.412213740458014</v>
      </c>
      <c r="F49" t="s">
        <v>87</v>
      </c>
      <c r="G49" s="1"/>
    </row>
    <row r="50" spans="1:7" x14ac:dyDescent="0.25">
      <c r="A50" t="s">
        <v>102</v>
      </c>
      <c r="B50" t="s">
        <v>103</v>
      </c>
      <c r="C50">
        <v>0.96</v>
      </c>
      <c r="D50">
        <v>2.39</v>
      </c>
      <c r="E50">
        <f t="shared" si="3"/>
        <v>59.832635983263607</v>
      </c>
      <c r="F50" t="s">
        <v>87</v>
      </c>
      <c r="G50" s="1"/>
    </row>
    <row r="51" spans="1:7" x14ac:dyDescent="0.25">
      <c r="A51" t="s">
        <v>104</v>
      </c>
      <c r="B51" t="s">
        <v>105</v>
      </c>
      <c r="C51">
        <v>1.1000000000000001</v>
      </c>
      <c r="D51">
        <v>2.4300000000000002</v>
      </c>
      <c r="E51">
        <f t="shared" si="3"/>
        <v>54.732510288065853</v>
      </c>
      <c r="F51" t="s">
        <v>87</v>
      </c>
      <c r="G51" s="1"/>
    </row>
    <row r="52" spans="1:7" x14ac:dyDescent="0.25">
      <c r="A52" t="s">
        <v>106</v>
      </c>
      <c r="B52" t="s">
        <v>107</v>
      </c>
      <c r="C52">
        <v>0.9</v>
      </c>
      <c r="D52">
        <v>2.44</v>
      </c>
      <c r="E52">
        <f t="shared" si="3"/>
        <v>63.114754098360649</v>
      </c>
      <c r="F52" t="s">
        <v>87</v>
      </c>
      <c r="G52" s="1"/>
    </row>
    <row r="53" spans="1:7" x14ac:dyDescent="0.25">
      <c r="A53" t="s">
        <v>108</v>
      </c>
      <c r="B53" t="s">
        <v>109</v>
      </c>
      <c r="C53">
        <v>1</v>
      </c>
      <c r="D53">
        <v>2.4500000000000002</v>
      </c>
      <c r="E53">
        <f t="shared" si="3"/>
        <v>59.183673469387756</v>
      </c>
      <c r="F53" t="s">
        <v>87</v>
      </c>
      <c r="G53" s="1"/>
    </row>
    <row r="54" spans="1:7" x14ac:dyDescent="0.25">
      <c r="A54" t="s">
        <v>110</v>
      </c>
      <c r="B54" t="s">
        <v>111</v>
      </c>
      <c r="C54">
        <v>1.08</v>
      </c>
      <c r="D54">
        <v>2.39</v>
      </c>
      <c r="E54">
        <f t="shared" si="3"/>
        <v>54.811715481171539</v>
      </c>
      <c r="F54" t="s">
        <v>87</v>
      </c>
      <c r="G54" s="1"/>
    </row>
    <row r="55" spans="1:7" x14ac:dyDescent="0.25">
      <c r="A55" t="s">
        <v>112</v>
      </c>
      <c r="B55" t="s">
        <v>113</v>
      </c>
      <c r="C55">
        <v>0.9</v>
      </c>
      <c r="D55">
        <v>2.44</v>
      </c>
      <c r="E55">
        <f t="shared" si="3"/>
        <v>63.114754098360649</v>
      </c>
      <c r="F55" t="s">
        <v>87</v>
      </c>
      <c r="G55" s="1"/>
    </row>
    <row r="56" spans="1:7" x14ac:dyDescent="0.25">
      <c r="A56" t="s">
        <v>114</v>
      </c>
      <c r="B56" t="s">
        <v>115</v>
      </c>
      <c r="C56">
        <v>0.89</v>
      </c>
      <c r="D56">
        <v>2.44</v>
      </c>
      <c r="E56">
        <f t="shared" si="3"/>
        <v>63.524590163934427</v>
      </c>
      <c r="F56" t="s">
        <v>87</v>
      </c>
      <c r="G56" s="1"/>
    </row>
    <row r="57" spans="1:7" x14ac:dyDescent="0.25">
      <c r="A57" t="s">
        <v>116</v>
      </c>
      <c r="B57" t="s">
        <v>117</v>
      </c>
      <c r="C57">
        <v>0.9</v>
      </c>
      <c r="D57">
        <v>2.4500000000000002</v>
      </c>
      <c r="E57">
        <f t="shared" si="3"/>
        <v>63.265306122448983</v>
      </c>
      <c r="F57" t="s">
        <v>87</v>
      </c>
      <c r="G57" s="1"/>
    </row>
    <row r="58" spans="1:7" x14ac:dyDescent="0.25">
      <c r="A58" t="s">
        <v>118</v>
      </c>
      <c r="B58" t="s">
        <v>119</v>
      </c>
      <c r="C58">
        <v>0.92</v>
      </c>
      <c r="D58">
        <v>2.44</v>
      </c>
      <c r="E58">
        <f t="shared" si="3"/>
        <v>62.295081967213115</v>
      </c>
      <c r="F58" t="s">
        <v>87</v>
      </c>
      <c r="G58" s="1"/>
    </row>
    <row r="59" spans="1:7" x14ac:dyDescent="0.25">
      <c r="A59" t="s">
        <v>120</v>
      </c>
      <c r="B59" t="s">
        <v>121</v>
      </c>
      <c r="C59">
        <v>1.06</v>
      </c>
      <c r="D59">
        <v>2.4900000000000002</v>
      </c>
      <c r="E59">
        <f t="shared" si="3"/>
        <v>57.429718875502012</v>
      </c>
      <c r="F59" t="s">
        <v>87</v>
      </c>
      <c r="G59" s="1"/>
    </row>
    <row r="60" spans="1:7" x14ac:dyDescent="0.25">
      <c r="A60" t="s">
        <v>122</v>
      </c>
      <c r="B60" t="s">
        <v>123</v>
      </c>
      <c r="C60">
        <v>1.03</v>
      </c>
      <c r="D60">
        <v>2.4900000000000002</v>
      </c>
      <c r="E60">
        <f t="shared" si="3"/>
        <v>58.634538152610439</v>
      </c>
      <c r="F60" t="s">
        <v>87</v>
      </c>
      <c r="G60" s="1"/>
    </row>
    <row r="61" spans="1:7" x14ac:dyDescent="0.25">
      <c r="A61" t="s">
        <v>124</v>
      </c>
      <c r="B61" t="s">
        <v>125</v>
      </c>
      <c r="C61">
        <v>1.02</v>
      </c>
      <c r="D61">
        <v>2.5</v>
      </c>
      <c r="E61">
        <f t="shared" si="3"/>
        <v>59.199999999999996</v>
      </c>
      <c r="F61" t="s">
        <v>87</v>
      </c>
      <c r="G61" s="1"/>
    </row>
    <row r="62" spans="1:7" x14ac:dyDescent="0.25">
      <c r="A62" t="s">
        <v>126</v>
      </c>
      <c r="B62" t="s">
        <v>127</v>
      </c>
      <c r="C62">
        <v>0.97</v>
      </c>
      <c r="D62">
        <v>2.4500000000000002</v>
      </c>
      <c r="E62">
        <f t="shared" si="3"/>
        <v>60.408163265306122</v>
      </c>
      <c r="F62" t="s">
        <v>87</v>
      </c>
      <c r="G62" s="1"/>
    </row>
    <row r="63" spans="1:7" x14ac:dyDescent="0.25">
      <c r="A63" t="s">
        <v>128</v>
      </c>
      <c r="B63" t="s">
        <v>129</v>
      </c>
      <c r="C63">
        <v>0.93</v>
      </c>
      <c r="D63">
        <v>2.5</v>
      </c>
      <c r="E63">
        <f t="shared" si="3"/>
        <v>62.8</v>
      </c>
      <c r="F63" t="s">
        <v>87</v>
      </c>
      <c r="G63" s="1"/>
    </row>
    <row r="64" spans="1:7" x14ac:dyDescent="0.25">
      <c r="A64" t="s">
        <v>130</v>
      </c>
      <c r="B64" t="s">
        <v>131</v>
      </c>
      <c r="C64">
        <v>1.01</v>
      </c>
      <c r="D64">
        <v>2.4900000000000002</v>
      </c>
      <c r="E64">
        <f t="shared" si="3"/>
        <v>59.437751004016071</v>
      </c>
      <c r="F64" t="s">
        <v>87</v>
      </c>
      <c r="G64" s="1"/>
    </row>
    <row r="65" spans="1:7" x14ac:dyDescent="0.25">
      <c r="A65" t="s">
        <v>132</v>
      </c>
      <c r="B65" t="s">
        <v>133</v>
      </c>
      <c r="C65">
        <v>0.98</v>
      </c>
      <c r="D65">
        <v>2.48</v>
      </c>
      <c r="E65">
        <f t="shared" si="3"/>
        <v>60.483870967741936</v>
      </c>
      <c r="F65" t="s">
        <v>87</v>
      </c>
      <c r="G65" s="1"/>
    </row>
    <row r="66" spans="1:7" x14ac:dyDescent="0.25">
      <c r="A66" t="s">
        <v>134</v>
      </c>
      <c r="B66" t="s">
        <v>135</v>
      </c>
      <c r="C66">
        <v>0.83</v>
      </c>
      <c r="D66">
        <v>2.44</v>
      </c>
      <c r="E66">
        <f>+(1-(C66/D66))*100</f>
        <v>65.983606557377044</v>
      </c>
      <c r="F66" t="s">
        <v>136</v>
      </c>
      <c r="G66" s="1"/>
    </row>
    <row r="67" spans="1:7" x14ac:dyDescent="0.25">
      <c r="A67" t="s">
        <v>137</v>
      </c>
      <c r="B67" t="s">
        <v>138</v>
      </c>
      <c r="C67">
        <v>0.86</v>
      </c>
      <c r="D67">
        <v>2.54</v>
      </c>
      <c r="E67">
        <f t="shared" ref="E67:E73" si="4">+(1-(C67/D67))*100</f>
        <v>66.141732283464563</v>
      </c>
      <c r="F67" t="s">
        <v>136</v>
      </c>
      <c r="G67" s="1"/>
    </row>
    <row r="68" spans="1:7" x14ac:dyDescent="0.25">
      <c r="A68" t="s">
        <v>139</v>
      </c>
      <c r="B68" t="s">
        <v>140</v>
      </c>
      <c r="C68">
        <v>0.87</v>
      </c>
      <c r="D68">
        <v>2.61</v>
      </c>
      <c r="E68">
        <f t="shared" si="4"/>
        <v>66.666666666666657</v>
      </c>
      <c r="F68" t="s">
        <v>136</v>
      </c>
      <c r="G68" s="1"/>
    </row>
    <row r="69" spans="1:7" x14ac:dyDescent="0.25">
      <c r="A69" t="s">
        <v>141</v>
      </c>
      <c r="B69" t="s">
        <v>142</v>
      </c>
      <c r="C69">
        <v>0.86</v>
      </c>
      <c r="D69">
        <v>2.56</v>
      </c>
      <c r="E69">
        <f t="shared" si="4"/>
        <v>66.40625</v>
      </c>
      <c r="F69" t="s">
        <v>136</v>
      </c>
      <c r="G69" s="1"/>
    </row>
    <row r="70" spans="1:7" x14ac:dyDescent="0.25">
      <c r="A70" t="s">
        <v>143</v>
      </c>
      <c r="B70" t="s">
        <v>144</v>
      </c>
      <c r="C70">
        <v>0.94</v>
      </c>
      <c r="D70">
        <v>2.4900000000000002</v>
      </c>
      <c r="E70">
        <f t="shared" si="4"/>
        <v>62.24899598393575</v>
      </c>
      <c r="F70" t="s">
        <v>136</v>
      </c>
      <c r="G70" s="1"/>
    </row>
    <row r="71" spans="1:7" x14ac:dyDescent="0.25">
      <c r="A71" t="s">
        <v>145</v>
      </c>
      <c r="B71" t="s">
        <v>146</v>
      </c>
      <c r="C71">
        <v>0.88</v>
      </c>
      <c r="D71">
        <v>2.62</v>
      </c>
      <c r="E71">
        <f t="shared" si="4"/>
        <v>66.412213740458014</v>
      </c>
      <c r="F71" t="s">
        <v>136</v>
      </c>
      <c r="G71" s="1"/>
    </row>
    <row r="72" spans="1:7" x14ac:dyDescent="0.25">
      <c r="A72" t="s">
        <v>147</v>
      </c>
      <c r="B72" t="s">
        <v>148</v>
      </c>
      <c r="C72">
        <v>0.91</v>
      </c>
      <c r="D72">
        <v>2.48</v>
      </c>
      <c r="E72">
        <f t="shared" si="4"/>
        <v>63.306451612903224</v>
      </c>
      <c r="F72" t="s">
        <v>136</v>
      </c>
      <c r="G72" s="1"/>
    </row>
    <row r="73" spans="1:7" x14ac:dyDescent="0.25">
      <c r="A73" t="s">
        <v>149</v>
      </c>
      <c r="B73" t="s">
        <v>150</v>
      </c>
      <c r="C73">
        <v>0.81</v>
      </c>
      <c r="D73">
        <v>2.59</v>
      </c>
      <c r="E73">
        <f t="shared" si="4"/>
        <v>68.725868725868722</v>
      </c>
      <c r="F73" t="s">
        <v>136</v>
      </c>
      <c r="G73" s="1"/>
    </row>
    <row r="74" spans="1:7" x14ac:dyDescent="0.25">
      <c r="A74" t="s">
        <v>151</v>
      </c>
      <c r="B74" t="s">
        <v>152</v>
      </c>
      <c r="C74">
        <v>0.68</v>
      </c>
      <c r="D74">
        <v>2.4500000000000002</v>
      </c>
      <c r="E74">
        <f>+(1-(C74/D74))*100</f>
        <v>72.244897959183675</v>
      </c>
      <c r="F74" t="s">
        <v>153</v>
      </c>
      <c r="G74" s="1"/>
    </row>
    <row r="75" spans="1:7" x14ac:dyDescent="0.25">
      <c r="A75" t="s">
        <v>154</v>
      </c>
      <c r="B75" t="s">
        <v>155</v>
      </c>
      <c r="C75">
        <v>0.76</v>
      </c>
      <c r="D75">
        <v>2.4700000000000002</v>
      </c>
      <c r="E75">
        <f t="shared" ref="E75:E96" si="5">+(1-(C75/D75))*100</f>
        <v>69.230769230769226</v>
      </c>
      <c r="F75" t="s">
        <v>153</v>
      </c>
      <c r="G75" s="1"/>
    </row>
    <row r="76" spans="1:7" x14ac:dyDescent="0.25">
      <c r="A76" t="s">
        <v>156</v>
      </c>
      <c r="B76" t="s">
        <v>157</v>
      </c>
      <c r="C76">
        <v>0.83</v>
      </c>
      <c r="D76">
        <v>2.5299999999999998</v>
      </c>
      <c r="E76">
        <f t="shared" si="5"/>
        <v>67.193675889328063</v>
      </c>
      <c r="F76" t="s">
        <v>153</v>
      </c>
      <c r="G76" s="1"/>
    </row>
    <row r="77" spans="1:7" x14ac:dyDescent="0.25">
      <c r="A77" t="s">
        <v>158</v>
      </c>
      <c r="B77" t="s">
        <v>159</v>
      </c>
      <c r="C77">
        <v>0.62</v>
      </c>
      <c r="D77">
        <v>2.36</v>
      </c>
      <c r="E77">
        <f t="shared" si="5"/>
        <v>73.728813559322035</v>
      </c>
      <c r="F77" t="s">
        <v>153</v>
      </c>
      <c r="G77" s="1"/>
    </row>
    <row r="78" spans="1:7" x14ac:dyDescent="0.25">
      <c r="A78" t="s">
        <v>160</v>
      </c>
      <c r="B78" t="s">
        <v>161</v>
      </c>
      <c r="C78">
        <v>0.8</v>
      </c>
      <c r="D78">
        <v>2.4500000000000002</v>
      </c>
      <c r="E78">
        <f t="shared" si="5"/>
        <v>67.34693877551021</v>
      </c>
      <c r="F78" t="s">
        <v>153</v>
      </c>
      <c r="G78" s="1"/>
    </row>
    <row r="79" spans="1:7" x14ac:dyDescent="0.25">
      <c r="A79" t="s">
        <v>162</v>
      </c>
      <c r="B79" t="s">
        <v>163</v>
      </c>
      <c r="C79">
        <v>0.66</v>
      </c>
      <c r="D79">
        <v>2.4500000000000002</v>
      </c>
      <c r="E79">
        <f t="shared" si="5"/>
        <v>73.061224489795919</v>
      </c>
      <c r="F79" t="s">
        <v>153</v>
      </c>
      <c r="G79" s="1"/>
    </row>
    <row r="80" spans="1:7" x14ac:dyDescent="0.25">
      <c r="A80" t="s">
        <v>164</v>
      </c>
      <c r="B80" t="s">
        <v>165</v>
      </c>
      <c r="C80">
        <v>0.79</v>
      </c>
      <c r="D80">
        <v>2.5099999999999998</v>
      </c>
      <c r="E80">
        <f t="shared" si="5"/>
        <v>68.525896414342625</v>
      </c>
      <c r="F80" t="s">
        <v>153</v>
      </c>
      <c r="G80" s="1"/>
    </row>
    <row r="81" spans="1:7" x14ac:dyDescent="0.25">
      <c r="A81" t="s">
        <v>166</v>
      </c>
      <c r="B81" t="s">
        <v>167</v>
      </c>
      <c r="C81">
        <v>0.71</v>
      </c>
      <c r="D81">
        <v>2.5299999999999998</v>
      </c>
      <c r="E81">
        <f t="shared" si="5"/>
        <v>71.93675889328064</v>
      </c>
      <c r="F81" t="s">
        <v>153</v>
      </c>
      <c r="G81" s="1"/>
    </row>
    <row r="82" spans="1:7" x14ac:dyDescent="0.25">
      <c r="A82" t="s">
        <v>168</v>
      </c>
      <c r="B82" t="s">
        <v>169</v>
      </c>
      <c r="C82">
        <v>0.79</v>
      </c>
      <c r="D82">
        <v>2.4500000000000002</v>
      </c>
      <c r="E82">
        <f t="shared" si="5"/>
        <v>67.755102040816325</v>
      </c>
      <c r="F82" t="s">
        <v>170</v>
      </c>
      <c r="G82" s="1"/>
    </row>
    <row r="83" spans="1:7" x14ac:dyDescent="0.25">
      <c r="A83" t="s">
        <v>171</v>
      </c>
      <c r="B83" t="s">
        <v>172</v>
      </c>
      <c r="C83">
        <v>0.74</v>
      </c>
      <c r="D83">
        <v>2.4</v>
      </c>
      <c r="E83">
        <f t="shared" si="5"/>
        <v>69.166666666666671</v>
      </c>
      <c r="F83" t="s">
        <v>170</v>
      </c>
      <c r="G83" s="1"/>
    </row>
    <row r="84" spans="1:7" x14ac:dyDescent="0.25">
      <c r="A84" t="s">
        <v>173</v>
      </c>
      <c r="B84" t="s">
        <v>174</v>
      </c>
      <c r="C84">
        <v>0.91</v>
      </c>
      <c r="D84">
        <v>2.4900000000000002</v>
      </c>
      <c r="E84">
        <f t="shared" si="5"/>
        <v>63.453815261044177</v>
      </c>
      <c r="F84" t="s">
        <v>170</v>
      </c>
      <c r="G84" s="1"/>
    </row>
    <row r="85" spans="1:7" x14ac:dyDescent="0.25">
      <c r="A85" t="s">
        <v>175</v>
      </c>
      <c r="B85" t="s">
        <v>176</v>
      </c>
      <c r="C85">
        <v>0.82</v>
      </c>
      <c r="D85">
        <v>2.4900000000000002</v>
      </c>
      <c r="E85">
        <f t="shared" si="5"/>
        <v>67.068273092369495</v>
      </c>
      <c r="F85" t="s">
        <v>170</v>
      </c>
      <c r="G85" s="1"/>
    </row>
    <row r="86" spans="1:7" x14ac:dyDescent="0.25">
      <c r="A86" t="s">
        <v>177</v>
      </c>
      <c r="B86" t="s">
        <v>178</v>
      </c>
      <c r="C86">
        <v>0.95</v>
      </c>
      <c r="D86">
        <v>2.5099999999999998</v>
      </c>
      <c r="E86">
        <f t="shared" si="5"/>
        <v>62.151394422310759</v>
      </c>
      <c r="F86" t="s">
        <v>170</v>
      </c>
      <c r="G86" s="1"/>
    </row>
    <row r="87" spans="1:7" x14ac:dyDescent="0.25">
      <c r="A87" t="s">
        <v>179</v>
      </c>
      <c r="B87" t="s">
        <v>180</v>
      </c>
      <c r="C87">
        <v>0.77</v>
      </c>
      <c r="D87">
        <v>2.35</v>
      </c>
      <c r="E87">
        <f t="shared" si="5"/>
        <v>67.2340425531915</v>
      </c>
      <c r="F87" t="s">
        <v>170</v>
      </c>
      <c r="G87" s="1"/>
    </row>
    <row r="88" spans="1:7" x14ac:dyDescent="0.25">
      <c r="A88" t="s">
        <v>181</v>
      </c>
      <c r="B88" t="s">
        <v>182</v>
      </c>
      <c r="C88">
        <v>0.87</v>
      </c>
      <c r="D88">
        <v>2.5299999999999998</v>
      </c>
      <c r="E88">
        <f t="shared" si="5"/>
        <v>65.612648221343875</v>
      </c>
      <c r="F88" t="s">
        <v>170</v>
      </c>
      <c r="G88" s="1"/>
    </row>
    <row r="89" spans="1:7" x14ac:dyDescent="0.25">
      <c r="A89" t="s">
        <v>183</v>
      </c>
      <c r="B89" t="s">
        <v>184</v>
      </c>
      <c r="C89">
        <v>0.85</v>
      </c>
      <c r="D89">
        <v>2.5299999999999998</v>
      </c>
      <c r="E89">
        <f t="shared" si="5"/>
        <v>66.403162055335969</v>
      </c>
      <c r="F89" t="s">
        <v>170</v>
      </c>
      <c r="G89" s="1"/>
    </row>
    <row r="90" spans="1:7" x14ac:dyDescent="0.25">
      <c r="A90" t="s">
        <v>185</v>
      </c>
      <c r="B90" t="s">
        <v>186</v>
      </c>
      <c r="C90">
        <v>0.56000000000000005</v>
      </c>
      <c r="D90">
        <v>2.5099999999999998</v>
      </c>
      <c r="E90">
        <f t="shared" si="5"/>
        <v>77.689243027888438</v>
      </c>
      <c r="F90" t="s">
        <v>187</v>
      </c>
      <c r="G90" s="1"/>
    </row>
    <row r="91" spans="1:7" x14ac:dyDescent="0.25">
      <c r="A91" t="s">
        <v>188</v>
      </c>
      <c r="B91" t="s">
        <v>189</v>
      </c>
      <c r="C91">
        <v>0.73</v>
      </c>
      <c r="D91">
        <v>2.4700000000000002</v>
      </c>
      <c r="E91">
        <f t="shared" si="5"/>
        <v>70.445344129554655</v>
      </c>
      <c r="F91" t="s">
        <v>187</v>
      </c>
      <c r="G91" s="1"/>
    </row>
    <row r="92" spans="1:7" x14ac:dyDescent="0.25">
      <c r="A92" t="s">
        <v>190</v>
      </c>
      <c r="B92" t="s">
        <v>191</v>
      </c>
      <c r="C92">
        <v>0.71</v>
      </c>
      <c r="D92">
        <v>2.5499999999999998</v>
      </c>
      <c r="E92">
        <f t="shared" si="5"/>
        <v>72.156862745098039</v>
      </c>
      <c r="F92" t="s">
        <v>187</v>
      </c>
      <c r="G92" s="1"/>
    </row>
    <row r="93" spans="1:7" x14ac:dyDescent="0.25">
      <c r="A93" t="s">
        <v>192</v>
      </c>
      <c r="B93" t="s">
        <v>193</v>
      </c>
      <c r="C93">
        <v>0.73</v>
      </c>
      <c r="D93">
        <v>2.37</v>
      </c>
      <c r="E93">
        <f t="shared" si="5"/>
        <v>69.198312236286924</v>
      </c>
      <c r="F93" t="s">
        <v>187</v>
      </c>
      <c r="G93" s="1"/>
    </row>
    <row r="94" spans="1:7" x14ac:dyDescent="0.25">
      <c r="A94" t="s">
        <v>194</v>
      </c>
      <c r="B94" t="s">
        <v>195</v>
      </c>
      <c r="C94">
        <v>0.8</v>
      </c>
      <c r="D94">
        <v>2.57</v>
      </c>
      <c r="E94">
        <f t="shared" si="5"/>
        <v>68.871595330739297</v>
      </c>
      <c r="F94" t="s">
        <v>187</v>
      </c>
      <c r="G94" s="1"/>
    </row>
    <row r="95" spans="1:7" x14ac:dyDescent="0.25">
      <c r="A95" t="s">
        <v>196</v>
      </c>
      <c r="B95" t="s">
        <v>197</v>
      </c>
      <c r="C95">
        <v>0.77</v>
      </c>
      <c r="D95">
        <v>2.48</v>
      </c>
      <c r="E95">
        <f t="shared" si="5"/>
        <v>68.951612903225794</v>
      </c>
      <c r="F95" t="s">
        <v>187</v>
      </c>
      <c r="G95" s="1"/>
    </row>
    <row r="96" spans="1:7" x14ac:dyDescent="0.25">
      <c r="A96" t="s">
        <v>198</v>
      </c>
      <c r="B96" t="s">
        <v>199</v>
      </c>
      <c r="C96">
        <v>0.8</v>
      </c>
      <c r="D96">
        <v>2.54</v>
      </c>
      <c r="E96">
        <f t="shared" si="5"/>
        <v>68.503937007874015</v>
      </c>
      <c r="F96" t="s">
        <v>187</v>
      </c>
      <c r="G96" s="1"/>
    </row>
    <row r="97" spans="1:7" x14ac:dyDescent="0.25">
      <c r="A97" t="s">
        <v>200</v>
      </c>
      <c r="B97" t="s">
        <v>201</v>
      </c>
      <c r="C97">
        <v>0.8</v>
      </c>
      <c r="D97">
        <v>2.5499999999999998</v>
      </c>
      <c r="E97">
        <f>+(1-(C97/D97))*100</f>
        <v>68.627450980392155</v>
      </c>
      <c r="F97" t="s">
        <v>187</v>
      </c>
      <c r="G9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210D-BFF6-4044-9EDB-12880C0135FB}">
  <dimension ref="A1:H40"/>
  <sheetViews>
    <sheetView workbookViewId="0">
      <selection activeCell="H29" sqref="H29"/>
    </sheetView>
  </sheetViews>
  <sheetFormatPr baseColWidth="10" defaultRowHeight="15" x14ac:dyDescent="0.25"/>
  <cols>
    <col min="1" max="1" width="30.42578125" bestFit="1" customWidth="1"/>
    <col min="2" max="2" width="12" bestFit="1" customWidth="1"/>
    <col min="3" max="3" width="10.5703125" bestFit="1" customWidth="1"/>
    <col min="4" max="4" width="9" bestFit="1" customWidth="1"/>
    <col min="5" max="5" width="11.5703125" bestFit="1" customWidth="1"/>
    <col min="6" max="6" width="16.7109375" bestFit="1" customWidth="1"/>
    <col min="7" max="7" width="26.7109375" bestFit="1" customWidth="1"/>
    <col min="8" max="8" width="59.85546875" bestFit="1" customWidth="1"/>
  </cols>
  <sheetData>
    <row r="1" spans="1:8" x14ac:dyDescent="0.25">
      <c r="A1" t="s">
        <v>0</v>
      </c>
      <c r="B1" t="s">
        <v>1</v>
      </c>
      <c r="C1" t="s">
        <v>279</v>
      </c>
      <c r="D1" t="s">
        <v>278</v>
      </c>
      <c r="E1" t="s">
        <v>277</v>
      </c>
      <c r="F1" t="s">
        <v>276</v>
      </c>
      <c r="G1" t="s">
        <v>275</v>
      </c>
      <c r="H1" t="s">
        <v>2</v>
      </c>
    </row>
    <row r="2" spans="1:8" x14ac:dyDescent="0.25">
      <c r="A2" t="s">
        <v>3</v>
      </c>
      <c r="B2" t="s">
        <v>205</v>
      </c>
      <c r="C2">
        <v>15</v>
      </c>
      <c r="D2">
        <v>29</v>
      </c>
      <c r="E2">
        <v>56</v>
      </c>
      <c r="F2" t="s">
        <v>206</v>
      </c>
      <c r="G2">
        <v>86</v>
      </c>
      <c r="H2" t="s">
        <v>207</v>
      </c>
    </row>
    <row r="3" spans="1:8" x14ac:dyDescent="0.25">
      <c r="A3" t="s">
        <v>6</v>
      </c>
      <c r="B3" t="s">
        <v>208</v>
      </c>
      <c r="C3">
        <v>15</v>
      </c>
      <c r="D3">
        <v>27</v>
      </c>
      <c r="E3">
        <v>58</v>
      </c>
      <c r="F3" t="s">
        <v>206</v>
      </c>
      <c r="G3">
        <v>94</v>
      </c>
      <c r="H3" t="s">
        <v>207</v>
      </c>
    </row>
    <row r="4" spans="1:8" x14ac:dyDescent="0.25">
      <c r="A4" t="s">
        <v>8</v>
      </c>
      <c r="B4" t="s">
        <v>209</v>
      </c>
      <c r="C4">
        <v>14</v>
      </c>
      <c r="D4">
        <v>28</v>
      </c>
      <c r="E4">
        <v>58</v>
      </c>
      <c r="F4" t="s">
        <v>206</v>
      </c>
      <c r="G4">
        <v>90</v>
      </c>
      <c r="H4" t="s">
        <v>207</v>
      </c>
    </row>
    <row r="5" spans="1:8" x14ac:dyDescent="0.25">
      <c r="A5" t="s">
        <v>20</v>
      </c>
      <c r="B5" t="s">
        <v>210</v>
      </c>
      <c r="C5">
        <v>10</v>
      </c>
      <c r="D5">
        <v>22</v>
      </c>
      <c r="E5">
        <v>68</v>
      </c>
      <c r="F5" t="s">
        <v>206</v>
      </c>
      <c r="G5">
        <v>17</v>
      </c>
      <c r="H5" t="s">
        <v>207</v>
      </c>
    </row>
    <row r="6" spans="1:8" x14ac:dyDescent="0.25">
      <c r="A6" t="s">
        <v>22</v>
      </c>
      <c r="B6" t="s">
        <v>211</v>
      </c>
      <c r="C6">
        <v>9</v>
      </c>
      <c r="D6">
        <v>23</v>
      </c>
      <c r="E6">
        <v>68</v>
      </c>
      <c r="F6" t="s">
        <v>206</v>
      </c>
      <c r="G6">
        <v>84</v>
      </c>
      <c r="H6" t="s">
        <v>207</v>
      </c>
    </row>
    <row r="7" spans="1:8" x14ac:dyDescent="0.25">
      <c r="A7" t="s">
        <v>24</v>
      </c>
      <c r="B7" t="s">
        <v>212</v>
      </c>
      <c r="C7">
        <v>12</v>
      </c>
      <c r="D7">
        <v>24</v>
      </c>
      <c r="E7">
        <v>64</v>
      </c>
      <c r="F7" t="s">
        <v>206</v>
      </c>
      <c r="G7">
        <v>83</v>
      </c>
      <c r="H7" t="s">
        <v>207</v>
      </c>
    </row>
    <row r="8" spans="1:8" x14ac:dyDescent="0.25">
      <c r="A8" t="s">
        <v>213</v>
      </c>
      <c r="B8" t="s">
        <v>214</v>
      </c>
      <c r="C8">
        <v>9</v>
      </c>
      <c r="D8">
        <v>36</v>
      </c>
      <c r="E8">
        <v>55</v>
      </c>
      <c r="F8" t="s">
        <v>206</v>
      </c>
      <c r="G8">
        <v>88</v>
      </c>
      <c r="H8" t="s">
        <v>215</v>
      </c>
    </row>
    <row r="9" spans="1:8" x14ac:dyDescent="0.25">
      <c r="A9" t="s">
        <v>216</v>
      </c>
      <c r="B9" t="s">
        <v>217</v>
      </c>
      <c r="C9">
        <v>12</v>
      </c>
      <c r="D9">
        <v>36</v>
      </c>
      <c r="E9">
        <v>52</v>
      </c>
      <c r="F9" t="s">
        <v>206</v>
      </c>
      <c r="G9">
        <v>85</v>
      </c>
      <c r="H9" t="s">
        <v>215</v>
      </c>
    </row>
    <row r="10" spans="1:8" x14ac:dyDescent="0.25">
      <c r="A10" t="s">
        <v>218</v>
      </c>
      <c r="B10" t="s">
        <v>219</v>
      </c>
      <c r="C10">
        <v>12</v>
      </c>
      <c r="D10">
        <v>35</v>
      </c>
      <c r="E10">
        <v>53</v>
      </c>
      <c r="F10" t="s">
        <v>206</v>
      </c>
      <c r="G10">
        <v>88</v>
      </c>
      <c r="H10" t="s">
        <v>215</v>
      </c>
    </row>
    <row r="11" spans="1:8" x14ac:dyDescent="0.25">
      <c r="A11" t="s">
        <v>220</v>
      </c>
      <c r="B11" t="s">
        <v>221</v>
      </c>
      <c r="C11">
        <v>7</v>
      </c>
      <c r="D11">
        <v>24</v>
      </c>
      <c r="E11">
        <v>69</v>
      </c>
      <c r="F11" t="s">
        <v>206</v>
      </c>
      <c r="G11">
        <v>92</v>
      </c>
      <c r="H11" t="s">
        <v>215</v>
      </c>
    </row>
    <row r="12" spans="1:8" x14ac:dyDescent="0.25">
      <c r="A12" t="s">
        <v>222</v>
      </c>
      <c r="B12" t="s">
        <v>223</v>
      </c>
      <c r="C12">
        <v>7</v>
      </c>
      <c r="D12">
        <v>24</v>
      </c>
      <c r="E12">
        <v>69</v>
      </c>
      <c r="F12" t="s">
        <v>206</v>
      </c>
      <c r="G12">
        <v>89</v>
      </c>
      <c r="H12" t="s">
        <v>215</v>
      </c>
    </row>
    <row r="13" spans="1:8" x14ac:dyDescent="0.25">
      <c r="A13" t="s">
        <v>224</v>
      </c>
      <c r="B13" t="s">
        <v>225</v>
      </c>
      <c r="C13">
        <v>7</v>
      </c>
      <c r="D13">
        <v>24</v>
      </c>
      <c r="E13">
        <v>69</v>
      </c>
      <c r="F13" t="s">
        <v>206</v>
      </c>
      <c r="G13">
        <v>87</v>
      </c>
      <c r="H13" t="s">
        <v>215</v>
      </c>
    </row>
    <row r="14" spans="1:8" x14ac:dyDescent="0.25">
      <c r="A14" t="s">
        <v>226</v>
      </c>
      <c r="B14" t="s">
        <v>227</v>
      </c>
      <c r="C14">
        <v>9</v>
      </c>
      <c r="D14">
        <v>31</v>
      </c>
      <c r="E14">
        <v>60</v>
      </c>
      <c r="F14" t="s">
        <v>206</v>
      </c>
      <c r="G14">
        <v>94</v>
      </c>
      <c r="H14" t="s">
        <v>215</v>
      </c>
    </row>
    <row r="15" spans="1:8" x14ac:dyDescent="0.25">
      <c r="A15" t="s">
        <v>228</v>
      </c>
      <c r="B15" t="s">
        <v>229</v>
      </c>
      <c r="C15">
        <v>12</v>
      </c>
      <c r="D15">
        <v>27</v>
      </c>
      <c r="E15">
        <v>61</v>
      </c>
      <c r="F15" t="s">
        <v>206</v>
      </c>
      <c r="G15">
        <v>94</v>
      </c>
      <c r="H15" t="s">
        <v>215</v>
      </c>
    </row>
    <row r="16" spans="1:8" x14ac:dyDescent="0.25">
      <c r="A16" t="s">
        <v>230</v>
      </c>
      <c r="B16" t="s">
        <v>231</v>
      </c>
      <c r="C16">
        <v>12</v>
      </c>
      <c r="D16">
        <v>27</v>
      </c>
      <c r="E16">
        <v>61</v>
      </c>
      <c r="F16" t="s">
        <v>206</v>
      </c>
      <c r="G16">
        <v>94</v>
      </c>
      <c r="H16" t="s">
        <v>215</v>
      </c>
    </row>
    <row r="17" spans="1:8" x14ac:dyDescent="0.25">
      <c r="A17" t="s">
        <v>232</v>
      </c>
      <c r="B17" t="s">
        <v>233</v>
      </c>
      <c r="C17">
        <v>18</v>
      </c>
      <c r="D17">
        <v>32</v>
      </c>
      <c r="E17">
        <v>50</v>
      </c>
      <c r="F17" t="s">
        <v>206</v>
      </c>
      <c r="G17">
        <v>98</v>
      </c>
      <c r="H17" t="s">
        <v>215</v>
      </c>
    </row>
    <row r="18" spans="1:8" x14ac:dyDescent="0.25">
      <c r="A18" t="s">
        <v>234</v>
      </c>
      <c r="B18" t="s">
        <v>235</v>
      </c>
      <c r="C18">
        <v>17</v>
      </c>
      <c r="D18">
        <v>34</v>
      </c>
      <c r="E18">
        <v>49</v>
      </c>
      <c r="F18" t="s">
        <v>206</v>
      </c>
      <c r="G18">
        <v>98</v>
      </c>
      <c r="H18" t="s">
        <v>215</v>
      </c>
    </row>
    <row r="19" spans="1:8" x14ac:dyDescent="0.25">
      <c r="A19" t="s">
        <v>236</v>
      </c>
      <c r="B19" t="s">
        <v>237</v>
      </c>
      <c r="C19">
        <v>18</v>
      </c>
      <c r="D19">
        <v>35</v>
      </c>
      <c r="E19">
        <v>47</v>
      </c>
      <c r="F19" t="s">
        <v>206</v>
      </c>
      <c r="G19">
        <v>98</v>
      </c>
      <c r="H19" t="s">
        <v>215</v>
      </c>
    </row>
    <row r="20" spans="1:8" x14ac:dyDescent="0.25">
      <c r="A20" t="s">
        <v>238</v>
      </c>
      <c r="B20" t="s">
        <v>239</v>
      </c>
      <c r="C20">
        <v>12</v>
      </c>
      <c r="D20">
        <v>28</v>
      </c>
      <c r="E20">
        <v>60</v>
      </c>
      <c r="F20" t="s">
        <v>206</v>
      </c>
      <c r="G20">
        <v>96</v>
      </c>
      <c r="H20" t="s">
        <v>215</v>
      </c>
    </row>
    <row r="21" spans="1:8" x14ac:dyDescent="0.25">
      <c r="A21" t="s">
        <v>240</v>
      </c>
      <c r="B21" t="s">
        <v>241</v>
      </c>
      <c r="C21">
        <v>14</v>
      </c>
      <c r="D21">
        <v>26</v>
      </c>
      <c r="E21">
        <v>60</v>
      </c>
      <c r="F21" t="s">
        <v>206</v>
      </c>
      <c r="G21">
        <v>96</v>
      </c>
      <c r="H21" t="s">
        <v>215</v>
      </c>
    </row>
    <row r="22" spans="1:8" x14ac:dyDescent="0.25">
      <c r="A22" t="s">
        <v>242</v>
      </c>
      <c r="B22" t="s">
        <v>243</v>
      </c>
      <c r="C22">
        <v>12</v>
      </c>
      <c r="D22">
        <v>27</v>
      </c>
      <c r="E22">
        <v>61</v>
      </c>
      <c r="F22" t="s">
        <v>206</v>
      </c>
      <c r="G22">
        <v>95</v>
      </c>
      <c r="H22" t="s">
        <v>215</v>
      </c>
    </row>
    <row r="23" spans="1:8" x14ac:dyDescent="0.25">
      <c r="A23" t="s">
        <v>244</v>
      </c>
      <c r="B23" t="s">
        <v>245</v>
      </c>
      <c r="C23">
        <v>7</v>
      </c>
      <c r="D23">
        <v>25</v>
      </c>
      <c r="E23">
        <v>68</v>
      </c>
      <c r="F23" t="s">
        <v>206</v>
      </c>
      <c r="G23">
        <v>93</v>
      </c>
      <c r="H23" t="s">
        <v>215</v>
      </c>
    </row>
    <row r="24" spans="1:8" x14ac:dyDescent="0.25">
      <c r="A24" t="s">
        <v>246</v>
      </c>
      <c r="B24" t="s">
        <v>247</v>
      </c>
      <c r="C24">
        <v>9</v>
      </c>
      <c r="D24">
        <v>23</v>
      </c>
      <c r="E24">
        <v>68</v>
      </c>
      <c r="F24" t="s">
        <v>206</v>
      </c>
      <c r="G24">
        <v>93</v>
      </c>
      <c r="H24" t="s">
        <v>215</v>
      </c>
    </row>
    <row r="25" spans="1:8" x14ac:dyDescent="0.25">
      <c r="A25" t="s">
        <v>248</v>
      </c>
      <c r="B25" t="s">
        <v>249</v>
      </c>
      <c r="C25">
        <v>7</v>
      </c>
      <c r="D25">
        <v>27</v>
      </c>
      <c r="E25">
        <v>66</v>
      </c>
      <c r="F25" t="s">
        <v>206</v>
      </c>
      <c r="G25">
        <v>89</v>
      </c>
      <c r="H25" t="s">
        <v>215</v>
      </c>
    </row>
    <row r="26" spans="1:8" x14ac:dyDescent="0.25">
      <c r="A26" t="s">
        <v>250</v>
      </c>
      <c r="B26" t="s">
        <v>251</v>
      </c>
      <c r="C26">
        <v>13</v>
      </c>
      <c r="D26">
        <v>23</v>
      </c>
      <c r="E26">
        <v>64</v>
      </c>
      <c r="F26" t="s">
        <v>206</v>
      </c>
      <c r="G26">
        <v>97</v>
      </c>
      <c r="H26" t="s">
        <v>215</v>
      </c>
    </row>
    <row r="27" spans="1:8" x14ac:dyDescent="0.25">
      <c r="A27" t="s">
        <v>252</v>
      </c>
      <c r="B27" t="s">
        <v>253</v>
      </c>
      <c r="C27">
        <v>10</v>
      </c>
      <c r="D27">
        <v>25</v>
      </c>
      <c r="E27">
        <v>65</v>
      </c>
      <c r="F27" t="s">
        <v>206</v>
      </c>
      <c r="G27">
        <v>98</v>
      </c>
      <c r="H27" t="s">
        <v>215</v>
      </c>
    </row>
    <row r="28" spans="1:8" x14ac:dyDescent="0.25">
      <c r="A28" t="s">
        <v>254</v>
      </c>
      <c r="B28" t="s">
        <v>255</v>
      </c>
      <c r="C28">
        <v>10</v>
      </c>
      <c r="D28">
        <v>25</v>
      </c>
      <c r="E28">
        <v>65</v>
      </c>
      <c r="F28" t="s">
        <v>206</v>
      </c>
      <c r="G28">
        <v>96</v>
      </c>
      <c r="H28" t="s">
        <v>215</v>
      </c>
    </row>
    <row r="29" spans="1:8" x14ac:dyDescent="0.25">
      <c r="A29" t="s">
        <v>256</v>
      </c>
      <c r="B29" t="s">
        <v>257</v>
      </c>
      <c r="C29">
        <v>9</v>
      </c>
      <c r="D29">
        <v>28</v>
      </c>
      <c r="E29">
        <v>63</v>
      </c>
      <c r="F29" t="s">
        <v>206</v>
      </c>
      <c r="G29">
        <v>96</v>
      </c>
      <c r="H29" t="s">
        <v>215</v>
      </c>
    </row>
    <row r="30" spans="1:8" x14ac:dyDescent="0.25">
      <c r="A30" t="s">
        <v>258</v>
      </c>
      <c r="B30" t="s">
        <v>259</v>
      </c>
      <c r="C30">
        <v>10</v>
      </c>
      <c r="D30">
        <v>27</v>
      </c>
      <c r="E30">
        <v>63</v>
      </c>
      <c r="F30" t="s">
        <v>206</v>
      </c>
      <c r="G30">
        <v>88</v>
      </c>
      <c r="H30" t="s">
        <v>215</v>
      </c>
    </row>
    <row r="31" spans="1:8" x14ac:dyDescent="0.25">
      <c r="A31" t="s">
        <v>260</v>
      </c>
      <c r="B31" t="s">
        <v>261</v>
      </c>
      <c r="C31">
        <v>10</v>
      </c>
      <c r="D31">
        <v>27</v>
      </c>
      <c r="E31">
        <v>63</v>
      </c>
      <c r="F31" t="s">
        <v>206</v>
      </c>
      <c r="G31">
        <v>89</v>
      </c>
      <c r="H31" t="s">
        <v>215</v>
      </c>
    </row>
    <row r="32" spans="1:8" x14ac:dyDescent="0.25">
      <c r="A32" t="s">
        <v>262</v>
      </c>
      <c r="B32" t="s">
        <v>263</v>
      </c>
      <c r="C32">
        <v>14</v>
      </c>
      <c r="D32">
        <v>32</v>
      </c>
      <c r="E32">
        <v>54</v>
      </c>
      <c r="F32" t="s">
        <v>206</v>
      </c>
      <c r="G32">
        <v>97</v>
      </c>
      <c r="H32" t="s">
        <v>215</v>
      </c>
    </row>
    <row r="33" spans="1:8" x14ac:dyDescent="0.25">
      <c r="A33" t="s">
        <v>264</v>
      </c>
      <c r="B33" t="s">
        <v>265</v>
      </c>
      <c r="C33">
        <v>15</v>
      </c>
      <c r="D33">
        <v>31</v>
      </c>
      <c r="E33">
        <v>54</v>
      </c>
      <c r="F33" t="s">
        <v>206</v>
      </c>
      <c r="G33">
        <v>98</v>
      </c>
      <c r="H33" t="s">
        <v>215</v>
      </c>
    </row>
    <row r="34" spans="1:8" x14ac:dyDescent="0.25">
      <c r="A34" t="s">
        <v>266</v>
      </c>
      <c r="B34" t="s">
        <v>267</v>
      </c>
      <c r="C34">
        <v>15</v>
      </c>
      <c r="D34">
        <v>31</v>
      </c>
      <c r="E34">
        <v>54</v>
      </c>
      <c r="F34" t="s">
        <v>206</v>
      </c>
      <c r="G34">
        <v>97</v>
      </c>
      <c r="H34" t="s">
        <v>215</v>
      </c>
    </row>
    <row r="35" spans="1:8" x14ac:dyDescent="0.25">
      <c r="A35" t="s">
        <v>268</v>
      </c>
      <c r="B35" t="s">
        <v>269</v>
      </c>
      <c r="C35">
        <v>13</v>
      </c>
      <c r="D35">
        <v>26</v>
      </c>
      <c r="E35">
        <v>61</v>
      </c>
      <c r="F35" t="s">
        <v>206</v>
      </c>
      <c r="G35">
        <v>94</v>
      </c>
      <c r="H35" t="s">
        <v>215</v>
      </c>
    </row>
    <row r="36" spans="1:8" x14ac:dyDescent="0.25">
      <c r="A36" t="s">
        <v>270</v>
      </c>
      <c r="B36" t="s">
        <v>271</v>
      </c>
      <c r="C36">
        <v>13</v>
      </c>
      <c r="D36">
        <v>26</v>
      </c>
      <c r="E36">
        <v>61</v>
      </c>
      <c r="F36" t="s">
        <v>206</v>
      </c>
      <c r="G36">
        <v>97</v>
      </c>
      <c r="H36" t="s">
        <v>215</v>
      </c>
    </row>
    <row r="37" spans="1:8" x14ac:dyDescent="0.25">
      <c r="A37" t="s">
        <v>272</v>
      </c>
      <c r="B37" t="s">
        <v>273</v>
      </c>
      <c r="C37">
        <v>13</v>
      </c>
      <c r="D37">
        <v>27</v>
      </c>
      <c r="E37">
        <v>60</v>
      </c>
      <c r="F37" t="s">
        <v>206</v>
      </c>
      <c r="G37">
        <v>97</v>
      </c>
      <c r="H37" t="s">
        <v>215</v>
      </c>
    </row>
    <row r="38" spans="1:8" x14ac:dyDescent="0.25">
      <c r="A38" t="s">
        <v>250</v>
      </c>
      <c r="B38" t="s">
        <v>251</v>
      </c>
      <c r="C38">
        <v>13</v>
      </c>
      <c r="D38">
        <v>23</v>
      </c>
      <c r="E38">
        <v>64</v>
      </c>
      <c r="F38" t="s">
        <v>206</v>
      </c>
      <c r="G38">
        <v>97</v>
      </c>
      <c r="H38" t="s">
        <v>274</v>
      </c>
    </row>
    <row r="39" spans="1:8" x14ac:dyDescent="0.25">
      <c r="A39" t="s">
        <v>252</v>
      </c>
      <c r="B39" t="s">
        <v>253</v>
      </c>
      <c r="C39">
        <v>10</v>
      </c>
      <c r="D39">
        <v>25</v>
      </c>
      <c r="E39">
        <v>65</v>
      </c>
      <c r="F39" t="s">
        <v>206</v>
      </c>
      <c r="G39">
        <v>98</v>
      </c>
      <c r="H39" t="s">
        <v>274</v>
      </c>
    </row>
    <row r="40" spans="1:8" x14ac:dyDescent="0.25">
      <c r="A40" t="s">
        <v>254</v>
      </c>
      <c r="B40" t="s">
        <v>255</v>
      </c>
      <c r="C40">
        <v>10</v>
      </c>
      <c r="D40">
        <v>25</v>
      </c>
      <c r="E40">
        <v>65</v>
      </c>
      <c r="F40" t="s">
        <v>206</v>
      </c>
      <c r="G40">
        <v>96</v>
      </c>
      <c r="H40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3A91-B2D5-4721-81F2-DEC7674A8391}">
  <dimension ref="A1:F40"/>
  <sheetViews>
    <sheetView tabSelected="1" workbookViewId="0">
      <selection activeCell="C23" sqref="C23"/>
    </sheetView>
  </sheetViews>
  <sheetFormatPr baseColWidth="10" defaultRowHeight="15" x14ac:dyDescent="0.25"/>
  <cols>
    <col min="1" max="1" width="30.42578125" bestFit="1" customWidth="1"/>
    <col min="2" max="2" width="12" bestFit="1" customWidth="1"/>
    <col min="3" max="3" width="33.7109375" bestFit="1" customWidth="1"/>
    <col min="4" max="4" width="32.140625" bestFit="1" customWidth="1"/>
    <col min="5" max="5" width="12.28515625" bestFit="1" customWidth="1"/>
    <col min="6" max="6" width="59.85546875" bestFit="1" customWidth="1"/>
  </cols>
  <sheetData>
    <row r="1" spans="1:6" ht="15" customHeight="1" x14ac:dyDescent="0.25">
      <c r="A1" t="s">
        <v>0</v>
      </c>
      <c r="B1" t="s">
        <v>1</v>
      </c>
      <c r="C1" t="s">
        <v>293</v>
      </c>
      <c r="D1" t="s">
        <v>294</v>
      </c>
      <c r="E1" t="s">
        <v>295</v>
      </c>
      <c r="F1" t="s">
        <v>2</v>
      </c>
    </row>
    <row r="2" spans="1:6" ht="15" customHeight="1" x14ac:dyDescent="0.25">
      <c r="A2" t="s">
        <v>280</v>
      </c>
      <c r="B2" t="s">
        <v>281</v>
      </c>
      <c r="C2">
        <v>39.22</v>
      </c>
      <c r="D2">
        <v>25.47</v>
      </c>
      <c r="E2">
        <f>+C2-D2</f>
        <v>13.75</v>
      </c>
      <c r="F2" t="s">
        <v>282</v>
      </c>
    </row>
    <row r="3" spans="1:6" x14ac:dyDescent="0.25">
      <c r="A3" t="s">
        <v>283</v>
      </c>
      <c r="B3" t="s">
        <v>284</v>
      </c>
      <c r="C3">
        <v>43.26</v>
      </c>
      <c r="D3">
        <v>26.64</v>
      </c>
      <c r="E3">
        <f t="shared" ref="E3:E7" si="0">+C3-D3</f>
        <v>16.619999999999997</v>
      </c>
      <c r="F3" t="s">
        <v>282</v>
      </c>
    </row>
    <row r="4" spans="1:6" x14ac:dyDescent="0.25">
      <c r="A4" t="s">
        <v>285</v>
      </c>
      <c r="B4" t="s">
        <v>286</v>
      </c>
      <c r="C4">
        <v>41.16</v>
      </c>
      <c r="D4">
        <v>25.34</v>
      </c>
      <c r="E4">
        <f t="shared" si="0"/>
        <v>15.819999999999997</v>
      </c>
      <c r="F4" t="s">
        <v>282</v>
      </c>
    </row>
    <row r="5" spans="1:6" x14ac:dyDescent="0.25">
      <c r="A5" t="s">
        <v>287</v>
      </c>
      <c r="B5" t="s">
        <v>288</v>
      </c>
      <c r="C5">
        <v>62.37</v>
      </c>
      <c r="D5">
        <v>29.86</v>
      </c>
      <c r="E5">
        <f t="shared" si="0"/>
        <v>32.51</v>
      </c>
      <c r="F5" t="s">
        <v>282</v>
      </c>
    </row>
    <row r="6" spans="1:6" x14ac:dyDescent="0.25">
      <c r="A6" t="s">
        <v>289</v>
      </c>
      <c r="B6" t="s">
        <v>290</v>
      </c>
      <c r="C6">
        <v>60.37</v>
      </c>
      <c r="D6">
        <v>29.07</v>
      </c>
      <c r="E6">
        <f t="shared" si="0"/>
        <v>31.299999999999997</v>
      </c>
      <c r="F6" t="s">
        <v>282</v>
      </c>
    </row>
    <row r="7" spans="1:6" x14ac:dyDescent="0.25">
      <c r="A7" t="s">
        <v>291</v>
      </c>
      <c r="B7" t="s">
        <v>292</v>
      </c>
      <c r="C7">
        <v>59.54</v>
      </c>
      <c r="D7">
        <v>31.21</v>
      </c>
      <c r="E7">
        <f t="shared" si="0"/>
        <v>28.33</v>
      </c>
      <c r="F7" t="s">
        <v>282</v>
      </c>
    </row>
    <row r="8" spans="1:6" x14ac:dyDescent="0.25">
      <c r="A8" t="s">
        <v>213</v>
      </c>
      <c r="B8" t="s">
        <v>214</v>
      </c>
      <c r="C8">
        <v>40.42</v>
      </c>
      <c r="D8">
        <v>25.06</v>
      </c>
      <c r="E8">
        <v>15.360000000000003</v>
      </c>
      <c r="F8" t="s">
        <v>215</v>
      </c>
    </row>
    <row r="9" spans="1:6" x14ac:dyDescent="0.25">
      <c r="A9" t="s">
        <v>216</v>
      </c>
      <c r="B9" t="s">
        <v>217</v>
      </c>
      <c r="C9">
        <v>40.130000000000003</v>
      </c>
      <c r="D9">
        <v>25.14</v>
      </c>
      <c r="E9">
        <v>14.990000000000002</v>
      </c>
      <c r="F9" t="s">
        <v>215</v>
      </c>
    </row>
    <row r="10" spans="1:6" x14ac:dyDescent="0.25">
      <c r="A10" t="s">
        <v>218</v>
      </c>
      <c r="B10" t="s">
        <v>219</v>
      </c>
      <c r="C10">
        <v>44.79</v>
      </c>
      <c r="D10">
        <v>25.83</v>
      </c>
      <c r="E10">
        <v>18.96</v>
      </c>
      <c r="F10" t="s">
        <v>215</v>
      </c>
    </row>
    <row r="11" spans="1:6" x14ac:dyDescent="0.25">
      <c r="A11" t="s">
        <v>220</v>
      </c>
      <c r="B11" t="s">
        <v>221</v>
      </c>
      <c r="C11">
        <v>41.18</v>
      </c>
      <c r="D11">
        <v>28.77</v>
      </c>
      <c r="E11">
        <v>12.41</v>
      </c>
      <c r="F11" t="s">
        <v>215</v>
      </c>
    </row>
    <row r="12" spans="1:6" x14ac:dyDescent="0.25">
      <c r="A12" t="s">
        <v>222</v>
      </c>
      <c r="B12" t="s">
        <v>223</v>
      </c>
      <c r="C12">
        <v>40.86</v>
      </c>
      <c r="D12">
        <v>28.25</v>
      </c>
      <c r="E12">
        <v>12.61</v>
      </c>
      <c r="F12" t="s">
        <v>215</v>
      </c>
    </row>
    <row r="13" spans="1:6" x14ac:dyDescent="0.25">
      <c r="A13" t="s">
        <v>224</v>
      </c>
      <c r="B13" t="s">
        <v>225</v>
      </c>
      <c r="C13">
        <v>40.340000000000003</v>
      </c>
      <c r="D13">
        <v>28.57</v>
      </c>
      <c r="E13">
        <v>11.770000000000003</v>
      </c>
      <c r="F13" t="s">
        <v>215</v>
      </c>
    </row>
    <row r="14" spans="1:6" x14ac:dyDescent="0.25">
      <c r="A14" t="s">
        <v>226</v>
      </c>
      <c r="B14" t="s">
        <v>227</v>
      </c>
      <c r="C14">
        <v>36.86</v>
      </c>
      <c r="D14">
        <v>24.65</v>
      </c>
      <c r="E14">
        <v>12.21</v>
      </c>
      <c r="F14" t="s">
        <v>215</v>
      </c>
    </row>
    <row r="15" spans="1:6" x14ac:dyDescent="0.25">
      <c r="A15" t="s">
        <v>228</v>
      </c>
      <c r="B15" t="s">
        <v>229</v>
      </c>
      <c r="C15">
        <v>47.29</v>
      </c>
      <c r="D15">
        <v>24.62</v>
      </c>
      <c r="E15">
        <v>22.669999999999998</v>
      </c>
      <c r="F15" t="s">
        <v>215</v>
      </c>
    </row>
    <row r="16" spans="1:6" x14ac:dyDescent="0.25">
      <c r="A16" t="s">
        <v>230</v>
      </c>
      <c r="B16" t="s">
        <v>231</v>
      </c>
      <c r="C16">
        <v>34.75</v>
      </c>
      <c r="D16">
        <v>25.87</v>
      </c>
      <c r="E16">
        <v>8.879999999999999</v>
      </c>
      <c r="F16" t="s">
        <v>215</v>
      </c>
    </row>
    <row r="17" spans="1:6" x14ac:dyDescent="0.25">
      <c r="A17" t="s">
        <v>232</v>
      </c>
      <c r="B17" t="s">
        <v>233</v>
      </c>
      <c r="C17">
        <v>48.9</v>
      </c>
      <c r="D17">
        <v>25.24</v>
      </c>
      <c r="E17">
        <v>23.66</v>
      </c>
      <c r="F17" t="s">
        <v>215</v>
      </c>
    </row>
    <row r="18" spans="1:6" x14ac:dyDescent="0.25">
      <c r="A18" t="s">
        <v>234</v>
      </c>
      <c r="B18" t="s">
        <v>235</v>
      </c>
      <c r="C18">
        <v>45.52</v>
      </c>
      <c r="D18">
        <v>25.79</v>
      </c>
      <c r="E18">
        <v>19.730000000000004</v>
      </c>
      <c r="F18" t="s">
        <v>215</v>
      </c>
    </row>
    <row r="19" spans="1:6" x14ac:dyDescent="0.25">
      <c r="A19" t="s">
        <v>236</v>
      </c>
      <c r="B19" t="s">
        <v>237</v>
      </c>
      <c r="C19">
        <v>46.77</v>
      </c>
      <c r="D19">
        <v>25.28</v>
      </c>
      <c r="E19">
        <v>21.490000000000002</v>
      </c>
      <c r="F19" t="s">
        <v>215</v>
      </c>
    </row>
    <row r="20" spans="1:6" x14ac:dyDescent="0.25">
      <c r="A20" t="s">
        <v>238</v>
      </c>
      <c r="B20" t="s">
        <v>239</v>
      </c>
      <c r="C20">
        <v>41.13</v>
      </c>
      <c r="D20">
        <v>26.3</v>
      </c>
      <c r="E20">
        <v>14.830000000000002</v>
      </c>
      <c r="F20" t="s">
        <v>215</v>
      </c>
    </row>
    <row r="21" spans="1:6" x14ac:dyDescent="0.25">
      <c r="A21" t="s">
        <v>240</v>
      </c>
      <c r="B21" t="s">
        <v>241</v>
      </c>
      <c r="C21">
        <v>35.65</v>
      </c>
      <c r="D21">
        <v>26.57</v>
      </c>
      <c r="E21">
        <v>9.0799999999999983</v>
      </c>
      <c r="F21" t="s">
        <v>215</v>
      </c>
    </row>
    <row r="22" spans="1:6" x14ac:dyDescent="0.25">
      <c r="A22" t="s">
        <v>242</v>
      </c>
      <c r="B22" t="s">
        <v>243</v>
      </c>
      <c r="C22">
        <v>38.08</v>
      </c>
      <c r="D22">
        <v>25.82</v>
      </c>
      <c r="E22">
        <v>12.259999999999998</v>
      </c>
      <c r="F22" t="s">
        <v>215</v>
      </c>
    </row>
    <row r="23" spans="1:6" x14ac:dyDescent="0.25">
      <c r="A23" t="s">
        <v>244</v>
      </c>
      <c r="B23" t="s">
        <v>245</v>
      </c>
      <c r="C23">
        <v>40.39</v>
      </c>
      <c r="D23">
        <v>28.48</v>
      </c>
      <c r="E23">
        <v>11.91</v>
      </c>
      <c r="F23" t="s">
        <v>215</v>
      </c>
    </row>
    <row r="24" spans="1:6" x14ac:dyDescent="0.25">
      <c r="A24" t="s">
        <v>246</v>
      </c>
      <c r="B24" t="s">
        <v>247</v>
      </c>
      <c r="C24">
        <v>46.21</v>
      </c>
      <c r="D24">
        <v>28.35</v>
      </c>
      <c r="E24">
        <v>17.86</v>
      </c>
      <c r="F24" t="s">
        <v>215</v>
      </c>
    </row>
    <row r="25" spans="1:6" x14ac:dyDescent="0.25">
      <c r="A25" t="s">
        <v>248</v>
      </c>
      <c r="B25" t="s">
        <v>249</v>
      </c>
      <c r="C25">
        <v>42.05</v>
      </c>
      <c r="D25">
        <v>28.52</v>
      </c>
      <c r="E25">
        <v>13.529999999999998</v>
      </c>
      <c r="F25" t="s">
        <v>215</v>
      </c>
    </row>
    <row r="26" spans="1:6" x14ac:dyDescent="0.25">
      <c r="A26" t="s">
        <v>250</v>
      </c>
      <c r="B26" t="s">
        <v>251</v>
      </c>
      <c r="C26">
        <v>43.89</v>
      </c>
      <c r="D26">
        <v>28.09</v>
      </c>
      <c r="E26">
        <v>15.8</v>
      </c>
      <c r="F26" t="s">
        <v>215</v>
      </c>
    </row>
    <row r="27" spans="1:6" x14ac:dyDescent="0.25">
      <c r="A27" t="s">
        <v>252</v>
      </c>
      <c r="B27" t="s">
        <v>253</v>
      </c>
      <c r="C27">
        <v>44.02</v>
      </c>
      <c r="D27">
        <v>28.62</v>
      </c>
      <c r="E27">
        <v>15.400000000000002</v>
      </c>
      <c r="F27" t="s">
        <v>215</v>
      </c>
    </row>
    <row r="28" spans="1:6" x14ac:dyDescent="0.25">
      <c r="A28" t="s">
        <v>254</v>
      </c>
      <c r="B28" t="s">
        <v>255</v>
      </c>
      <c r="C28">
        <v>55.9</v>
      </c>
      <c r="D28">
        <v>29.69</v>
      </c>
      <c r="E28">
        <v>26.209999999999997</v>
      </c>
      <c r="F28" t="s">
        <v>215</v>
      </c>
    </row>
    <row r="29" spans="1:6" x14ac:dyDescent="0.25">
      <c r="A29" t="s">
        <v>256</v>
      </c>
      <c r="B29" t="s">
        <v>257</v>
      </c>
      <c r="C29">
        <v>61.05</v>
      </c>
      <c r="D29">
        <v>32.340000000000003</v>
      </c>
      <c r="E29">
        <v>28.709999999999994</v>
      </c>
      <c r="F29" t="s">
        <v>215</v>
      </c>
    </row>
    <row r="30" spans="1:6" x14ac:dyDescent="0.25">
      <c r="A30" t="s">
        <v>258</v>
      </c>
      <c r="B30" t="s">
        <v>259</v>
      </c>
      <c r="C30">
        <v>79.63</v>
      </c>
      <c r="D30">
        <v>32.409999999999997</v>
      </c>
      <c r="E30">
        <v>47.22</v>
      </c>
      <c r="F30" t="s">
        <v>215</v>
      </c>
    </row>
    <row r="31" spans="1:6" x14ac:dyDescent="0.25">
      <c r="A31" t="s">
        <v>260</v>
      </c>
      <c r="B31" t="s">
        <v>261</v>
      </c>
      <c r="C31">
        <v>66.86</v>
      </c>
      <c r="D31">
        <v>32.6</v>
      </c>
      <c r="E31">
        <v>34.26</v>
      </c>
      <c r="F31" t="s">
        <v>215</v>
      </c>
    </row>
    <row r="32" spans="1:6" x14ac:dyDescent="0.25">
      <c r="A32" t="s">
        <v>262</v>
      </c>
      <c r="B32" t="s">
        <v>263</v>
      </c>
      <c r="C32">
        <v>39.56</v>
      </c>
      <c r="D32">
        <v>27.72</v>
      </c>
      <c r="E32">
        <v>11.840000000000003</v>
      </c>
      <c r="F32" t="s">
        <v>215</v>
      </c>
    </row>
    <row r="33" spans="1:6" x14ac:dyDescent="0.25">
      <c r="A33" t="s">
        <v>264</v>
      </c>
      <c r="B33" t="s">
        <v>265</v>
      </c>
      <c r="C33">
        <v>53.06</v>
      </c>
      <c r="D33">
        <v>27.97</v>
      </c>
      <c r="E33">
        <v>25.090000000000003</v>
      </c>
      <c r="F33" t="s">
        <v>215</v>
      </c>
    </row>
    <row r="34" spans="1:6" x14ac:dyDescent="0.25">
      <c r="A34" t="s">
        <v>266</v>
      </c>
      <c r="B34" t="s">
        <v>267</v>
      </c>
      <c r="C34">
        <v>62.65</v>
      </c>
      <c r="D34">
        <v>27.86</v>
      </c>
      <c r="E34">
        <v>34.79</v>
      </c>
      <c r="F34" t="s">
        <v>215</v>
      </c>
    </row>
    <row r="35" spans="1:6" x14ac:dyDescent="0.25">
      <c r="A35" t="s">
        <v>268</v>
      </c>
      <c r="B35" t="s">
        <v>269</v>
      </c>
      <c r="C35">
        <v>85.33</v>
      </c>
      <c r="D35">
        <v>29.47</v>
      </c>
      <c r="E35">
        <v>55.86</v>
      </c>
      <c r="F35" t="s">
        <v>215</v>
      </c>
    </row>
    <row r="36" spans="1:6" x14ac:dyDescent="0.25">
      <c r="A36" t="s">
        <v>270</v>
      </c>
      <c r="B36" t="s">
        <v>271</v>
      </c>
      <c r="C36">
        <v>82.68</v>
      </c>
      <c r="D36">
        <v>29.56</v>
      </c>
      <c r="E36">
        <v>53.120000000000005</v>
      </c>
      <c r="F36" t="s">
        <v>215</v>
      </c>
    </row>
    <row r="37" spans="1:6" x14ac:dyDescent="0.25">
      <c r="A37" t="s">
        <v>272</v>
      </c>
      <c r="B37" t="s">
        <v>273</v>
      </c>
      <c r="C37">
        <v>69.33</v>
      </c>
      <c r="D37">
        <v>29.06</v>
      </c>
      <c r="E37">
        <v>40.269999999999996</v>
      </c>
      <c r="F37" t="s">
        <v>215</v>
      </c>
    </row>
    <row r="38" spans="1:6" x14ac:dyDescent="0.25">
      <c r="A38" t="s">
        <v>250</v>
      </c>
      <c r="B38" t="s">
        <v>251</v>
      </c>
      <c r="C38">
        <v>43.89</v>
      </c>
      <c r="D38">
        <v>28.09</v>
      </c>
      <c r="E38">
        <v>15.8</v>
      </c>
      <c r="F38" t="s">
        <v>274</v>
      </c>
    </row>
    <row r="39" spans="1:6" x14ac:dyDescent="0.25">
      <c r="A39" t="s">
        <v>252</v>
      </c>
      <c r="B39" t="s">
        <v>253</v>
      </c>
      <c r="C39">
        <v>44.02</v>
      </c>
      <c r="D39">
        <v>28.62</v>
      </c>
      <c r="E39">
        <v>15.400000000000002</v>
      </c>
      <c r="F39" t="s">
        <v>274</v>
      </c>
    </row>
    <row r="40" spans="1:6" x14ac:dyDescent="0.25">
      <c r="A40" t="s">
        <v>254</v>
      </c>
      <c r="B40" t="s">
        <v>255</v>
      </c>
      <c r="C40">
        <v>55.9</v>
      </c>
      <c r="D40">
        <v>29.69</v>
      </c>
      <c r="E40">
        <v>26.209999999999997</v>
      </c>
      <c r="F40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densidad_porosidad</vt:lpstr>
      <vt:lpstr>textural</vt:lpstr>
      <vt:lpstr>retencion_humedad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Jesús Céspedes Rivera</dc:creator>
  <cp:lastModifiedBy>Jesús Céspedes Rivera</cp:lastModifiedBy>
  <dcterms:created xsi:type="dcterms:W3CDTF">2015-06-05T18:19:34Z</dcterms:created>
  <dcterms:modified xsi:type="dcterms:W3CDTF">2026-09-16T21:30:45Z</dcterms:modified>
</cp:coreProperties>
</file>