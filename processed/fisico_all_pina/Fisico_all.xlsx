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b088a06617d4fb/Ejercicio 7/Documents/Work/CR/UCR_EA/Proyectos/Salud_del_suelo_pina_papa/Datos/processed/fisico_all_pina/"/>
    </mc:Choice>
  </mc:AlternateContent>
  <xr:revisionPtr revIDLastSave="103" documentId="13_ncr:1_{1F330E9E-4649-4470-8BAC-B07AE474C579}" xr6:coauthVersionLast="47" xr6:coauthVersionMax="47" xr10:uidLastSave="{3E7641B1-BE9E-4725-A08E-17AF1E7C03F5}"/>
  <bookViews>
    <workbookView xWindow="20370" yWindow="-9000" windowWidth="29040" windowHeight="17640" xr2:uid="{00000000-000D-0000-FFFF-FFFF00000000}"/>
  </bookViews>
  <sheets>
    <sheet name="densidad_porosidad" sheetId="34" r:id="rId1"/>
    <sheet name="textural" sheetId="37" r:id="rId2"/>
    <sheet name="retencion_humedad" sheetId="38" r:id="rId3"/>
  </sheets>
  <definedNames>
    <definedName name="_xlnm._FilterDatabase" localSheetId="0" hidden="1">densidad_porosidad!$A$20:$G$88</definedName>
    <definedName name="_xlnm.Print_Area" localSheetId="0">densidad_porosidad!$A$1:$R$54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" i="34" l="1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23" i="38"/>
  <c r="G22" i="38"/>
  <c r="G21" i="38"/>
  <c r="G20" i="38"/>
  <c r="G19" i="38"/>
  <c r="G18" i="38"/>
  <c r="G40" i="34"/>
  <c r="G26" i="34"/>
  <c r="G39" i="34"/>
  <c r="G25" i="34"/>
  <c r="G27" i="34"/>
  <c r="G28" i="34"/>
  <c r="G29" i="34"/>
  <c r="G30" i="34"/>
  <c r="G31" i="34"/>
  <c r="G32" i="34"/>
  <c r="G33" i="34"/>
  <c r="G34" i="34"/>
  <c r="G35" i="34"/>
  <c r="G36" i="34"/>
  <c r="G37" i="34"/>
  <c r="G38" i="34"/>
</calcChain>
</file>

<file path=xl/sharedStrings.xml><?xml version="1.0" encoding="utf-8"?>
<sst xmlns="http://schemas.openxmlformats.org/spreadsheetml/2006/main" count="677" uniqueCount="346">
  <si>
    <t>CENTRO DE INVESTIGACIONES AGRONÓMICAS</t>
  </si>
  <si>
    <t>LABORATORIO DE RECURSOS NATURALES</t>
  </si>
  <si>
    <t>REPORTE DE ENSAYO</t>
  </si>
  <si>
    <t>Nº DE REPORTE:</t>
  </si>
  <si>
    <t>98535</t>
  </si>
  <si>
    <t>USUARIO:</t>
  </si>
  <si>
    <t>PROYECTO VI-813-C6469 (CIPROC)</t>
  </si>
  <si>
    <t>RESPONSABLE:</t>
  </si>
  <si>
    <t>REBECA SANDOVAL</t>
  </si>
  <si>
    <t>CORREO</t>
  </si>
  <si>
    <t>ciproc@ucr.ac.cr; 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</si>
  <si>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</si>
  <si>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</si>
  <si>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</si>
  <si>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</si>
  <si>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</si>
  <si>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</si>
  <si>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</si>
  <si>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13/02/2026 </t>
  </si>
  <si>
    <t>CANTÓN:</t>
  </si>
  <si>
    <t>SAN CARLOS</t>
  </si>
  <si>
    <t>EMISIÓN DE REPORTE:</t>
  </si>
  <si>
    <t xml:space="preserve">09/03/2026 </t>
  </si>
  <si>
    <t>LOCALIDAD</t>
  </si>
  <si>
    <t>PITAL</t>
  </si>
  <si>
    <t>Nº DE MUESTRAS TOTAL:</t>
  </si>
  <si>
    <t>16</t>
  </si>
  <si>
    <t>CULTIVO:</t>
  </si>
  <si>
    <t>SIN CULTIVO</t>
  </si>
  <si>
    <t>PÁGINA:</t>
  </si>
  <si>
    <t>1/2</t>
  </si>
  <si>
    <t>ANÁLISIS DE DENSIDAD Y POROSIDAD</t>
  </si>
  <si>
    <t xml:space="preserve">Densidad aparente  </t>
  </si>
  <si>
    <t>Densidad Particulas</t>
  </si>
  <si>
    <t>Porosidad</t>
  </si>
  <si>
    <t>ID USUARIO</t>
  </si>
  <si>
    <t>ID LAB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</si>
  <si>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</si>
  <si>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</si>
  <si>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PIÑA 1-1</t>
  </si>
  <si>
    <t>RN-26-00425</t>
  </si>
  <si>
    <t>PIÑA 1-2</t>
  </si>
  <si>
    <t>RN-26-00426</t>
  </si>
  <si>
    <t>PIÑA 1-3</t>
  </si>
  <si>
    <t>RN-26-00427</t>
  </si>
  <si>
    <t>PIÑA 1-4</t>
  </si>
  <si>
    <t>RN-26-00428</t>
  </si>
  <si>
    <t>PIÑA 1-5</t>
  </si>
  <si>
    <t>RN-26-00429</t>
  </si>
  <si>
    <t>PIÑA 1-6</t>
  </si>
  <si>
    <t>RN-26-00430</t>
  </si>
  <si>
    <t>PIÑA 1-7</t>
  </si>
  <si>
    <t>RN-26-00431</t>
  </si>
  <si>
    <t>PIÑA 1-8</t>
  </si>
  <si>
    <t>RN-26-00432</t>
  </si>
  <si>
    <t>BOSQUE 1-1</t>
  </si>
  <si>
    <t>RN-26-00433</t>
  </si>
  <si>
    <t>BOSQUE 1-2</t>
  </si>
  <si>
    <t>RN-26-00434</t>
  </si>
  <si>
    <t>BOSQUE 1-3</t>
  </si>
  <si>
    <t>RN-26-00435</t>
  </si>
  <si>
    <t>BOSQUE 1-4</t>
  </si>
  <si>
    <t>RN-26-00436</t>
  </si>
  <si>
    <t>BOSQUE 1-5</t>
  </si>
  <si>
    <t>RN-26-00437</t>
  </si>
  <si>
    <t>BOSQUE 1-6</t>
  </si>
  <si>
    <t>RN-26-00438</t>
  </si>
  <si>
    <t>BOSQUE 1-7</t>
  </si>
  <si>
    <t>RN-26-00439</t>
  </si>
  <si>
    <t>BOSQUE 1-8</t>
  </si>
  <si>
    <t>RN-26-00440</t>
  </si>
  <si>
    <t xml:space="preserve">Estabilidad de agregados </t>
  </si>
  <si>
    <t>xls_origen</t>
  </si>
  <si>
    <t>98535 PROYECTO VI-813-C6469 (CIPROC) (RN425-440)</t>
  </si>
  <si>
    <t>98536</t>
  </si>
  <si>
    <t>MANUEL CAMACHO</t>
  </si>
  <si>
    <t>Est_Agr., TEXT,</t>
  </si>
  <si>
    <t>6</t>
  </si>
  <si>
    <t>1/1</t>
  </si>
  <si>
    <t>ANÁLISIS DE TEXTURA Y ESTABILIDAD DE AGREGADOS</t>
  </si>
  <si>
    <t>ARENA</t>
  </si>
  <si>
    <t>LIMO</t>
  </si>
  <si>
    <t>ARCILLA</t>
  </si>
  <si>
    <t>Clase textural</t>
  </si>
  <si>
    <t>RN-26-00441</t>
  </si>
  <si>
    <t>Arcilloso</t>
  </si>
  <si>
    <t>RN-26-00442</t>
  </si>
  <si>
    <t>RN-26-00443</t>
  </si>
  <si>
    <t>RN-26-00444</t>
  </si>
  <si>
    <t>RN-26-00445</t>
  </si>
  <si>
    <t>RN-26-00446</t>
  </si>
  <si>
    <t>98536 PROYECTO VI-813-C6469 (CIPROC) (RN441-446)</t>
  </si>
  <si>
    <t>99443</t>
  </si>
  <si>
    <t>manuel.camachoumana@ucr.ac.cr; rebeca.sandovalruiz@ucr.ac.cr</t>
  </si>
  <si>
    <t>Ret H (2 pts),</t>
  </si>
  <si>
    <t xml:space="preserve">20/04/2026 </t>
  </si>
  <si>
    <t>UPALA</t>
  </si>
  <si>
    <t xml:space="preserve">11/05/2026 </t>
  </si>
  <si>
    <t>PIÑA Y BOSQUE</t>
  </si>
  <si>
    <t xml:space="preserve"> Retención de humedad </t>
  </si>
  <si>
    <t>Humedad gravimétrica (%)</t>
  </si>
  <si>
    <t>Agua útil</t>
  </si>
  <si>
    <t>(0,33 bar)</t>
  </si>
  <si>
    <t>(15 bar)</t>
  </si>
  <si>
    <t>PIÑA 1 (VICTOR TREJOS) R1</t>
  </si>
  <si>
    <t>RN-26-00863</t>
  </si>
  <si>
    <t>PIÑA 1 (VICTOR TREJOS) R2</t>
  </si>
  <si>
    <t>RN-26-00864</t>
  </si>
  <si>
    <t>PIÑA 1 (VICTOR TREJOS) R3</t>
  </si>
  <si>
    <t>RN-26-00865</t>
  </si>
  <si>
    <t>BOSQUE 1  - R1</t>
  </si>
  <si>
    <t>RN-26-00866</t>
  </si>
  <si>
    <t>BOSQUE 1  - R2</t>
  </si>
  <si>
    <t>RN-26-00867</t>
  </si>
  <si>
    <t>BOSQUE 1  - R3</t>
  </si>
  <si>
    <t>RN-26-00868</t>
  </si>
  <si>
    <t>99443 PROYECTO VI-813-C6469 (CIPROC) (RN863-868)</t>
  </si>
  <si>
    <t>PIÑA 2 (ALONSO CHACON) R1</t>
  </si>
  <si>
    <t>RN-26-00869</t>
  </si>
  <si>
    <t>PIÑA 2 (ALONSO CHACON) R2</t>
  </si>
  <si>
    <t>RN-26-00870</t>
  </si>
  <si>
    <t>PIÑA 2 (ALONSO CHACON) R3</t>
  </si>
  <si>
    <t>RN-26-00871</t>
  </si>
  <si>
    <t>PIÑA 3 (MISAEL ROJAS) R1</t>
  </si>
  <si>
    <t>RN-26-00872</t>
  </si>
  <si>
    <t>PIÑA 3 (MISAEL ROJAS) R2</t>
  </si>
  <si>
    <t>RN-26-00873</t>
  </si>
  <si>
    <t>PIÑA 3 (MISAEL ROJAS) R3</t>
  </si>
  <si>
    <t>RN-26-00874</t>
  </si>
  <si>
    <t>PIÑA 4 (SERGIO ROJAS) R1</t>
  </si>
  <si>
    <t>RN-26-00875</t>
  </si>
  <si>
    <t>PIÑA 4 (SERGIO ROJAS) R2</t>
  </si>
  <si>
    <t>RN-26-00876</t>
  </si>
  <si>
    <t>PIÑA 4 (SERGIO ROJAS) R3</t>
  </si>
  <si>
    <t>RN-26-00877</t>
  </si>
  <si>
    <t>PIÑA 5 (SERGIO ROJAS) R1</t>
  </si>
  <si>
    <t>RN-26-00878</t>
  </si>
  <si>
    <t>PIÑA 5 (SERGIO ROJAS) R2</t>
  </si>
  <si>
    <t>RN-26-00879</t>
  </si>
  <si>
    <t>PIÑA 5 (SERGIO ROJAS) R3</t>
  </si>
  <si>
    <t>RN-26-00880</t>
  </si>
  <si>
    <t>PIÑA 6 (MARVIN ZAMORA) R1</t>
  </si>
  <si>
    <t>RN-26-00881</t>
  </si>
  <si>
    <t>PIÑA 6 (MARVIN ZAMORA) R2</t>
  </si>
  <si>
    <t>RN-26-00882</t>
  </si>
  <si>
    <t>PIÑA 6 (MARVIN ZAMORA) R3</t>
  </si>
  <si>
    <t>RN-26-00883</t>
  </si>
  <si>
    <t>99444 PROYECTO VI-813-C6469 (CIPROC) (RN869-898)</t>
  </si>
  <si>
    <t>PIÑA 7 (ADRIAN RODRIGRUEZ) R1</t>
  </si>
  <si>
    <t>RN-26-00884</t>
  </si>
  <si>
    <t>PIÑA 7 (ADRIAN RODRIGRUEZ) R2</t>
  </si>
  <si>
    <t>RN-26-00885</t>
  </si>
  <si>
    <t>PIÑA 7 (ADRIAN RODRIGRUEZ) R3</t>
  </si>
  <si>
    <t>RN-26-00886</t>
  </si>
  <si>
    <t>PIÑA 8 (SENEN MURILLO) R1</t>
  </si>
  <si>
    <t>RN-26-00887</t>
  </si>
  <si>
    <t>PIÑA 8 (SENEN MURILLO) R2</t>
  </si>
  <si>
    <t>RN-26-00888</t>
  </si>
  <si>
    <t>PIÑA 8 (SENEN MURILLO) R3</t>
  </si>
  <si>
    <t>RN-26-00889</t>
  </si>
  <si>
    <t>BOSQUE 2 (MISAEL ROJAS) R1</t>
  </si>
  <si>
    <t>RN-26-00890</t>
  </si>
  <si>
    <t>BOSQUE 2 (MISAEL ROJAS) R2</t>
  </si>
  <si>
    <t>RN-26-00891</t>
  </si>
  <si>
    <t>BOSQUE 2 (MISAEL ROJAS) R3</t>
  </si>
  <si>
    <t>RN-26-00892</t>
  </si>
  <si>
    <t>BOSQUE 3 (SERGIO ROJAS) R1</t>
  </si>
  <si>
    <t>RN-26-00893</t>
  </si>
  <si>
    <t>BOSQUE 3 (SERGIO ROJAS) R2</t>
  </si>
  <si>
    <t>RN-26-00894</t>
  </si>
  <si>
    <t>BOSQUE 3 (SERGIO ROJAS) R3</t>
  </si>
  <si>
    <t>RN-26-00895</t>
  </si>
  <si>
    <t>BOSQUE 4 (SERGIO ROJAS) R1</t>
  </si>
  <si>
    <t>RN-26-00896</t>
  </si>
  <si>
    <t>BOSQUE 4 (SERGIO ROJAS) R2</t>
  </si>
  <si>
    <t>RN-26-00897</t>
  </si>
  <si>
    <t>BOSQUE 4 (SERGIO ROJAS) R3</t>
  </si>
  <si>
    <t>RN-26-00898</t>
  </si>
  <si>
    <t>PIÑA 2 (ALONSO CHACON) R 1</t>
  </si>
  <si>
    <t>RN-26-00899</t>
  </si>
  <si>
    <t>PIÑA 2 (ALONSO CHACON) R 2</t>
  </si>
  <si>
    <t>RN-26-00900</t>
  </si>
  <si>
    <t>PIÑA 2 (ALONSO CHACON) R 3</t>
  </si>
  <si>
    <t>RN-26-00901</t>
  </si>
  <si>
    <t>PIÑA 2 (ALONSO CHACON) R 4</t>
  </si>
  <si>
    <t>RN-26-00902</t>
  </si>
  <si>
    <t>PIÑA 2 (ALONSO CHACON) R 5</t>
  </si>
  <si>
    <t>RN-26-00903</t>
  </si>
  <si>
    <t>PIÑA 2 (ALONSO CHACON) R 6</t>
  </si>
  <si>
    <t>RN-26-00904</t>
  </si>
  <si>
    <t>PIÑA 2 (ALONSO CHACON) R 7</t>
  </si>
  <si>
    <t>RN-26-00905</t>
  </si>
  <si>
    <t>PIÑA 2 (ALONSO CHACON) R 8</t>
  </si>
  <si>
    <t>RN-26-00906</t>
  </si>
  <si>
    <t>PIÑA 3 (MISAEL ROJAS) R 1</t>
  </si>
  <si>
    <t>RN-26-00907</t>
  </si>
  <si>
    <t>PIÑA 3 (MISAEL ROJAS) R 2</t>
  </si>
  <si>
    <t>RN-26-00908</t>
  </si>
  <si>
    <t>PIÑA 3 (MISAEL ROJAS) R 3</t>
  </si>
  <si>
    <t>RN-26-00909</t>
  </si>
  <si>
    <t>PIÑA 3 (MISAEL ROJAS) R 4</t>
  </si>
  <si>
    <t>RN-26-00910</t>
  </si>
  <si>
    <t>PIÑA 3 (MISAEL ROJAS) R 5</t>
  </si>
  <si>
    <t>RN-26-00911</t>
  </si>
  <si>
    <t>PIÑA 3 (MISAEL ROJAS) R 6</t>
  </si>
  <si>
    <t>RN-26-00912</t>
  </si>
  <si>
    <t>PIÑA 3 (MISAEL ROJAS) R 7</t>
  </si>
  <si>
    <t>RN-26-00913</t>
  </si>
  <si>
    <t>99445 PROYECTO VI-813-C6469 (CIPROC) (RN899-922)</t>
  </si>
  <si>
    <t>PIÑA 3 (MISAEL ROJAS) R 8</t>
  </si>
  <si>
    <t>RN-26-00914</t>
  </si>
  <si>
    <t>PIÑA 4 (SERGIO ROJAS) R 1</t>
  </si>
  <si>
    <t>RN-26-00915</t>
  </si>
  <si>
    <t>PIÑA 4 (SERGIO ROJAS) R 2</t>
  </si>
  <si>
    <t>RN-26-00916</t>
  </si>
  <si>
    <t>PIÑA 4 (SERGIO ROJAS) R 3</t>
  </si>
  <si>
    <t>RN-26-00917</t>
  </si>
  <si>
    <t>PIÑA 4 (SERGIO ROJAS) R 4</t>
  </si>
  <si>
    <t>RN-26-00918</t>
  </si>
  <si>
    <t>PIÑA 4 (SERGIO ROJAS) R 5</t>
  </si>
  <si>
    <t>RN-26-00919</t>
  </si>
  <si>
    <t>PIÑA 4 (SERGIO ROJAS) R 6</t>
  </si>
  <si>
    <t>RN-26-00920</t>
  </si>
  <si>
    <t>PIÑA 4 (SERGIO ROJAS) R 7</t>
  </si>
  <si>
    <t>RN-26-00921</t>
  </si>
  <si>
    <t>PIÑA 4 (SERGIO ROJAS) R 8</t>
  </si>
  <si>
    <t>RN-26-00922</t>
  </si>
  <si>
    <t>PIÑA 5 (SERGIO ROJAS)R 1</t>
  </si>
  <si>
    <t>RN-26-00923</t>
  </si>
  <si>
    <t>PIÑA 5 (SERGIO ROJAS)R 2</t>
  </si>
  <si>
    <t>RN-26-00924</t>
  </si>
  <si>
    <t>PIÑA 5 (SERGIO ROJAS) R 3</t>
  </si>
  <si>
    <t>RN-26-00925</t>
  </si>
  <si>
    <t>PIÑA 5 (SERGIO ROJAS) R 4</t>
  </si>
  <si>
    <t>RN-26-00926</t>
  </si>
  <si>
    <t>PIÑA 5 (SERGIO ROJAS) R 5</t>
  </si>
  <si>
    <t>RN-26-00927</t>
  </si>
  <si>
    <t>PIÑA 5 (SERGIO ROJAS) R 6</t>
  </si>
  <si>
    <t>RN-26-00928</t>
  </si>
  <si>
    <t>PIÑA 5 (SERGIO ROJAS) R 7</t>
  </si>
  <si>
    <t>RN-26-00929</t>
  </si>
  <si>
    <t>PIÑA 5 (SERGIO ROJAS) R 8</t>
  </si>
  <si>
    <t>RN-26-00930</t>
  </si>
  <si>
    <t>PIÑA 6 (MARVIN ZAMORA) R 1</t>
  </si>
  <si>
    <t>RN-26-00931</t>
  </si>
  <si>
    <t>PIÑA 6 (MARVIN ZAMORA) R 2</t>
  </si>
  <si>
    <t>RN-26-00932</t>
  </si>
  <si>
    <t>PIÑA 6 (MARVIN ZAMORA)R 3</t>
  </si>
  <si>
    <t>RN-26-00933</t>
  </si>
  <si>
    <t>PIÑA 6 (MARVIN ZAMORA)R 4</t>
  </si>
  <si>
    <t>RN-26-00934</t>
  </si>
  <si>
    <t>PIÑA 6 (MARVIN ZAMORA)R 5</t>
  </si>
  <si>
    <t>RN-26-00935</t>
  </si>
  <si>
    <t>PIÑA 6 (MARVIN ZAMORA) R 6</t>
  </si>
  <si>
    <t>RN-26-00936</t>
  </si>
  <si>
    <t>PIÑA 6 (MARVIN ZAMORA) R 7</t>
  </si>
  <si>
    <t>RN-26-00937</t>
  </si>
  <si>
    <t>PIÑA 6 (MARVIN ZAMORA) R 8</t>
  </si>
  <si>
    <t>RN-26-00938</t>
  </si>
  <si>
    <t>PIÑA 7 (ADRIAN RODRIGRUEZ) R 1</t>
  </si>
  <si>
    <t>RN-26-00939</t>
  </si>
  <si>
    <t>PIÑA 7 (ADRIAN RODRIGRUEZ)R 2</t>
  </si>
  <si>
    <t>RN-26-00940</t>
  </si>
  <si>
    <t>PIÑA 7 (ADRIAN RODRIGRUEZ)R 3</t>
  </si>
  <si>
    <t>RN-26-00941</t>
  </si>
  <si>
    <t>PIÑA 7 (ADRIAN RODRIGRUEZ)R 4</t>
  </si>
  <si>
    <t>RN-26-00942</t>
  </si>
  <si>
    <t>PIÑA 7 (ADRIAN RODRIGRUEZ)R 5</t>
  </si>
  <si>
    <t>RN-26-00943</t>
  </si>
  <si>
    <t>PIÑA 7 (ADRIAN RODRIGRUEZ)R 6</t>
  </si>
  <si>
    <t>RN-26-00944</t>
  </si>
  <si>
    <t>PIÑA 7 (ADRIAN RODRIGRUEZ) R 7</t>
  </si>
  <si>
    <t>RN-26-00945</t>
  </si>
  <si>
    <t>PIÑA 7 (ADRIAN RODRIGRUEZ) R 8</t>
  </si>
  <si>
    <t>RN-26-00946</t>
  </si>
  <si>
    <t>99446 PROYECTO VI-813-C6469 (CIPROC) (RN923-946)</t>
  </si>
  <si>
    <t>PIÑA 8 (SENEN MURILLO)R 1</t>
  </si>
  <si>
    <t>RN-26-00947</t>
  </si>
  <si>
    <t>PIÑA 8 (SENEN MURILLO)R 2</t>
  </si>
  <si>
    <t>RN-26-00948</t>
  </si>
  <si>
    <t>PIÑA 8 (SENEN MURILLO)R 3</t>
  </si>
  <si>
    <t>RN-26-00949</t>
  </si>
  <si>
    <t>PIÑA 8 (SENEN MURILLO)R 4</t>
  </si>
  <si>
    <t>RN-26-00950</t>
  </si>
  <si>
    <t>PIÑA 8 (SENEN MURILLO)R 5</t>
  </si>
  <si>
    <t>RN-26-00951</t>
  </si>
  <si>
    <t>PIÑA 8 (SENEN MURILLO) R 6</t>
  </si>
  <si>
    <t>RN-26-00952</t>
  </si>
  <si>
    <t>PIÑA 8 (SENEN MURILLO)R 7</t>
  </si>
  <si>
    <t>RN-26-00953</t>
  </si>
  <si>
    <t>PIÑA 8 (SENEN MURILLO)R 8</t>
  </si>
  <si>
    <t>RN-26-00954</t>
  </si>
  <si>
    <t>Piña_Finca8_99447 PROYECTO VI-813-C6469 (CIPROC) (RN947-970)</t>
  </si>
  <si>
    <t>Piña_Finca8_99444 PROYECTO VI-813-C6469 (CIPROC) (RN869-898)</t>
  </si>
  <si>
    <t>BOSQUE 4 (SERGIO ROJAS) R 1</t>
  </si>
  <si>
    <t>RN-26-00971</t>
  </si>
  <si>
    <t>BOSQUE 4 (SERGIO ROJAS) R 2</t>
  </si>
  <si>
    <t>RN-26-00972</t>
  </si>
  <si>
    <t>BOSQUE 4 (SERGIO ROJAS) R 3</t>
  </si>
  <si>
    <t>RN-26-00973</t>
  </si>
  <si>
    <t>BOSQUE 4 (SERGIO ROJAS) R 4</t>
  </si>
  <si>
    <t>RN-26-00974</t>
  </si>
  <si>
    <t>BOSQUE 4 (SERGIO ROJAS) R 5</t>
  </si>
  <si>
    <t>RN-26-00975</t>
  </si>
  <si>
    <t>BOSQUE 4 (SERGIO ROJAS)  R 6</t>
  </si>
  <si>
    <t>RN-26-00976</t>
  </si>
  <si>
    <t>BOSQUE 4 (SERGIO ROJAS) R 7</t>
  </si>
  <si>
    <t>RN-26-00977</t>
  </si>
  <si>
    <t>BOSQUE 4 (SERGIO ROJAS) R 8</t>
  </si>
  <si>
    <t>RN-26-00978</t>
  </si>
  <si>
    <t>Piña_Bosque4_99448 PROYECTO VI-813-C6469 (CIPROC) (RN971-978)</t>
  </si>
  <si>
    <t>BOSQUE 3 (SERGIO ROJAS) R 1</t>
  </si>
  <si>
    <t>RN-26-00963</t>
  </si>
  <si>
    <t>BOSQUE 3 (SERGIO ROJAS)R 2</t>
  </si>
  <si>
    <t>RN-26-00964</t>
  </si>
  <si>
    <t>BOSQUE 3 (SERGIO ROJAS)R 3</t>
  </si>
  <si>
    <t>RN-26-00965</t>
  </si>
  <si>
    <t>BOSQUE 3 (SERGIO ROJAS)R 4</t>
  </si>
  <si>
    <t>RN-26-00966</t>
  </si>
  <si>
    <t>BOSQUE 3 (SERGIO ROJAS)R 5</t>
  </si>
  <si>
    <t>RN-26-00967</t>
  </si>
  <si>
    <t>BOSQUE 3 (SERGIO ROJAS)R 6</t>
  </si>
  <si>
    <t>RN-26-00968</t>
  </si>
  <si>
    <t>BOSQUE 3 (SERGIO ROJAS)R 7</t>
  </si>
  <si>
    <t>RN-26-00969</t>
  </si>
  <si>
    <t>BOSQUE 3 (SERGIO ROJAS) R 8</t>
  </si>
  <si>
    <t>RN-26-00970</t>
  </si>
  <si>
    <t>Piña_Bosque3_99447 PROYECTO VI-813-C6469 (CIPROC) (RN947-970)</t>
  </si>
  <si>
    <t>BOSQUE 2 (MISAEL ROJAS)R 1</t>
  </si>
  <si>
    <t>RN-26-00955</t>
  </si>
  <si>
    <t>BOSQUE 2 (MISAEL ROJAS)R 2</t>
  </si>
  <si>
    <t>RN-26-00956</t>
  </si>
  <si>
    <t>BOSQUE 2 (MISAEL ROJAS)R 3</t>
  </si>
  <si>
    <t>RN-26-00957</t>
  </si>
  <si>
    <t>BOSQUE 2 (MISAEL ROJAS)R 4</t>
  </si>
  <si>
    <t>RN-26-00958</t>
  </si>
  <si>
    <t>BOSQUE 2 (MISAEL ROJAS)R 5</t>
  </si>
  <si>
    <t>RN-26-00959</t>
  </si>
  <si>
    <t>BOSQUE 2 (MISAEL ROJAS)R 6</t>
  </si>
  <si>
    <t>RN-26-00960</t>
  </si>
  <si>
    <t>BOSQUE 2 (MISAEL ROJAS)R 7</t>
  </si>
  <si>
    <t>RN-26-00961</t>
  </si>
  <si>
    <t>BOSQUE 2 (MISAEL ROJAS)  R 8</t>
  </si>
  <si>
    <t>RN-26-00962</t>
  </si>
  <si>
    <t>Piña_Bosque2_99447 PROYECTO VI-813-C6469 (CIPROC) (RN947-970)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</si>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</sst>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vertAlign val="superscript"/>
      <sz val="10"/>
      <name val="Arial"/>
      <family val="2"/>
    </font>
    <font>
      <b/>
      <sz val="9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118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5" xfId="0" applyFont="1" applyBorder="1" applyAlignment="1">
      <alignment vertical="top" wrapText="1" readingOrder="1"/>
    </xf>
    <xf numFmtId="0" fontId="6" fillId="0" borderId="6" xfId="0" applyFont="1" applyBorder="1" applyAlignment="1">
      <alignment vertical="top" wrapText="1" readingOrder="1"/>
    </xf>
    <xf numFmtId="0" fontId="6" fillId="0" borderId="7" xfId="0" applyFont="1" applyBorder="1" applyAlignment="1">
      <alignment vertical="top" wrapText="1" readingOrder="1"/>
    </xf>
    <xf numFmtId="0" fontId="1" fillId="0" borderId="8" xfId="0" applyFont="1" applyBorder="1" applyAlignment="1"/>
    <xf numFmtId="0" fontId="5" fillId="0" borderId="9" xfId="0" applyFont="1" applyBorder="1" applyAlignment="1"/>
    <xf numFmtId="0" fontId="1" fillId="0" borderId="9" xfId="0" applyFont="1" applyBorder="1" applyAlignment="1"/>
    <xf numFmtId="49" fontId="9" fillId="0" borderId="0" xfId="0" applyNumberFormat="1" applyFont="1" applyAlignment="1"/>
    <xf numFmtId="0" fontId="2" fillId="0" borderId="0" xfId="0" applyFont="1" applyAlignment="1">
      <alignment horizontal="left" vertical="top" wrapText="1" readingOrder="1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11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9" fillId="0" borderId="5" xfId="0" applyNumberFormat="1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left"/>
    </xf>
    <xf numFmtId="49" fontId="9" fillId="0" borderId="15" xfId="0" applyNumberFormat="1" applyFont="1" applyBorder="1" applyAlignment="1">
      <alignment horizontal="left"/>
    </xf>
    <xf numFmtId="49" fontId="9" fillId="0" borderId="9" xfId="0" applyNumberFormat="1" applyFont="1" applyBorder="1" applyAlignment="1">
      <alignment horizontal="left"/>
    </xf>
    <xf numFmtId="49" fontId="9" fillId="0" borderId="12" xfId="0" applyNumberFormat="1" applyFont="1" applyBorder="1" applyAlignment="1">
      <alignment horizontal="left"/>
    </xf>
    <xf numFmtId="49" fontId="9" fillId="0" borderId="7" xfId="0" applyNumberFormat="1" applyFont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49" fontId="0" fillId="0" borderId="0" xfId="0" applyNumberFormat="1" applyAlignment="1">
      <alignment horizontal="left" vertical="top"/>
    </xf>
    <xf numFmtId="0" fontId="12" fillId="0" borderId="0" xfId="0" applyFont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/>
    </xf>
    <xf numFmtId="0" fontId="5" fillId="0" borderId="5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</cellXfs>
  <cellStyles count="5">
    <cellStyle name="Normal" xfId="0" builtinId="0"/>
    <cellStyle name="Normal 2 2" xfId="1" xr:uid="{3495299F-BBE6-4404-BA06-39BA48075546}"/>
    <cellStyle name="Normal 2 3" xfId="3" xr:uid="{56B82042-6C82-4D71-BFB0-E91975D9224F}"/>
    <cellStyle name="Normal 3" xfId="2" xr:uid="{E8D67A46-D6DC-4B2B-A560-D34D60414661}"/>
    <cellStyle name="Normal 5" xfId="4" xr:uid="{D8211932-91CF-4DC2-BE4E-7765A8366A8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238125</xdr:colOff>
      <xdr:row>0</xdr:row>
      <xdr:rowOff>38100</xdr:rowOff>
    </xdr:from>
    <xdr:to>
      <xdr:col>16</xdr:col>
      <xdr:colOff>263338</xdr:colOff>
      <xdr:row>0</xdr:row>
      <xdr:rowOff>657694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8100"/>
          <a:ext cx="2082613" cy="61959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8"/>
  <sheetViews>
    <sheetView tabSelected="1" topLeftCell="A31" workbookViewId="0">
      <selection activeCell="K124" sqref="K124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7" width="17.42578125" style="1" customWidth="1"/>
    <col min="8" max="9" width="0.85546875" style="1" customWidth="1"/>
    <col min="10" max="10" width="9.42578125" style="1" bestFit="1" customWidth="1"/>
    <col min="11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75" t="s">
        <v>0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7" ht="15.75" x14ac:dyDescent="0.25">
      <c r="D2" s="75" t="s">
        <v>1</v>
      </c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7" ht="15.75" x14ac:dyDescent="0.25">
      <c r="B3" s="4"/>
      <c r="C3" s="4"/>
      <c r="D3" s="75" t="s">
        <v>2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17" ht="14.25" customHeight="1" x14ac:dyDescent="0.25">
      <c r="B4" s="4"/>
      <c r="C4" s="4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.5" customHeight="1" x14ac:dyDescent="0.25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4"/>
    </row>
    <row r="6" spans="1:17" ht="1.5" customHeight="1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</row>
    <row r="7" spans="1:17" ht="1.5" customHeight="1" x14ac:dyDescent="0.2"/>
    <row r="8" spans="1:17" ht="20.100000000000001" customHeight="1" x14ac:dyDescent="0.3">
      <c r="A8" s="5" t="s">
        <v>3</v>
      </c>
      <c r="B8" s="77" t="s">
        <v>4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</row>
    <row r="9" spans="1:17" ht="12.75" customHeight="1" x14ac:dyDescent="0.2">
      <c r="A9" s="2" t="s">
        <v>5</v>
      </c>
      <c r="B9" s="74" t="s">
        <v>6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</row>
    <row r="10" spans="1:17" x14ac:dyDescent="0.2">
      <c r="A10" s="2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</row>
    <row r="11" spans="1:17" ht="12.75" customHeight="1" x14ac:dyDescent="0.2">
      <c r="A11" s="2" t="s">
        <v>7</v>
      </c>
      <c r="B11" s="72" t="s">
        <v>8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</row>
    <row r="12" spans="1:17" ht="12.75" customHeight="1" x14ac:dyDescent="0.2">
      <c r="A12" s="18" t="s">
        <v>9</v>
      </c>
      <c r="B12" s="78" t="s">
        <v>10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</row>
    <row r="13" spans="1:17" ht="12.75" customHeight="1" x14ac:dyDescent="0.2">
      <c r="A13" s="18" t="s">
        <v>11</v>
      </c>
      <c r="B13" s="72" t="s">
        <v>12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</row>
    <row r="14" spans="1:17" ht="12.75" customHeight="1" x14ac:dyDescent="0.2">
      <c r="A14" s="2"/>
      <c r="B14" s="72"/>
      <c r="C14" s="72"/>
      <c r="D14" s="72"/>
      <c r="E14" s="72"/>
      <c r="F14" s="72"/>
      <c r="G14" s="72"/>
      <c r="H14" s="72"/>
      <c r="I14" s="72"/>
      <c r="J14" s="73" t="s">
        <v>13</v>
      </c>
      <c r="K14" s="73"/>
      <c r="L14" s="73"/>
      <c r="M14" s="73"/>
      <c r="N14" s="74" t="s">
        <v>14</v>
      </c>
      <c r="O14" s="74"/>
      <c r="P14" s="74"/>
      <c r="Q14" s="74"/>
    </row>
    <row r="15" spans="1:17" ht="12.75" customHeight="1" x14ac:dyDescent="0.2">
      <c r="A15" s="2" t="s">
        <v>15</v>
      </c>
      <c r="B15" s="72" t="s">
        <v>16</v>
      </c>
      <c r="C15" s="72"/>
      <c r="D15" s="72"/>
      <c r="E15" s="72"/>
      <c r="F15" s="72"/>
      <c r="G15" s="72"/>
      <c r="H15" s="72"/>
      <c r="I15" s="72"/>
      <c r="J15" s="73" t="s">
        <v>17</v>
      </c>
      <c r="K15" s="73"/>
      <c r="L15" s="73"/>
      <c r="M15" s="73"/>
      <c r="N15" s="74" t="s">
        <v>18</v>
      </c>
      <c r="O15" s="74"/>
      <c r="P15" s="74"/>
      <c r="Q15" s="74"/>
    </row>
    <row r="16" spans="1:17" ht="12.75" customHeight="1" x14ac:dyDescent="0.2">
      <c r="A16" s="2" t="s">
        <v>19</v>
      </c>
      <c r="B16" s="72" t="s">
        <v>20</v>
      </c>
      <c r="C16" s="72"/>
      <c r="D16" s="72"/>
      <c r="E16" s="72"/>
      <c r="F16" s="72"/>
      <c r="G16" s="72"/>
      <c r="H16" s="72"/>
      <c r="I16" s="72"/>
      <c r="J16" s="73" t="s">
        <v>21</v>
      </c>
      <c r="K16" s="73"/>
      <c r="L16" s="73"/>
      <c r="M16" s="73"/>
      <c r="N16" s="74" t="s">
        <v>22</v>
      </c>
      <c r="O16" s="74"/>
      <c r="P16" s="74"/>
      <c r="Q16" s="74"/>
    </row>
    <row r="17" spans="1:17" ht="12.75" customHeight="1" x14ac:dyDescent="0.2">
      <c r="A17" s="18" t="s">
        <v>23</v>
      </c>
      <c r="B17" s="78" t="s">
        <v>24</v>
      </c>
      <c r="C17" s="78"/>
      <c r="D17" s="78"/>
      <c r="E17" s="78"/>
      <c r="F17" s="78"/>
      <c r="G17" s="78"/>
      <c r="H17" s="78"/>
      <c r="I17" s="78"/>
      <c r="J17" s="81" t="s">
        <v>25</v>
      </c>
      <c r="K17" s="81"/>
      <c r="L17" s="81"/>
      <c r="M17" s="81"/>
      <c r="N17" s="74" t="s">
        <v>26</v>
      </c>
      <c r="O17" s="74"/>
      <c r="P17" s="74"/>
      <c r="Q17" s="74"/>
    </row>
    <row r="18" spans="1:17" ht="12.75" customHeight="1" x14ac:dyDescent="0.2">
      <c r="A18" s="2" t="s">
        <v>27</v>
      </c>
      <c r="B18" s="72" t="s">
        <v>28</v>
      </c>
      <c r="C18" s="72"/>
      <c r="D18" s="72"/>
      <c r="E18" s="72"/>
      <c r="F18" s="72"/>
      <c r="G18" s="72"/>
      <c r="H18" s="72"/>
      <c r="I18" s="72"/>
      <c r="J18" s="73" t="s">
        <v>29</v>
      </c>
      <c r="K18" s="73"/>
      <c r="L18" s="73"/>
      <c r="M18" s="73"/>
      <c r="N18" s="74" t="s">
        <v>30</v>
      </c>
      <c r="O18" s="74"/>
      <c r="P18" s="74"/>
      <c r="Q18" s="74"/>
    </row>
    <row r="19" spans="1:17" ht="6" customHeight="1" x14ac:dyDescent="0.2">
      <c r="C19" s="2"/>
    </row>
    <row r="20" spans="1:17" ht="22.5" customHeight="1" x14ac:dyDescent="0.25">
      <c r="A20" s="87" t="s">
        <v>31</v>
      </c>
      <c r="B20" s="88"/>
      <c r="C20" s="88"/>
      <c r="D20" s="88"/>
      <c r="E20" s="88"/>
      <c r="F20" s="88"/>
      <c r="G20" s="89"/>
      <c r="H20" s="4"/>
    </row>
    <row r="21" spans="1:17" ht="12.75" customHeight="1" x14ac:dyDescent="0.2">
      <c r="A21" s="11"/>
      <c r="B21" s="12"/>
      <c r="C21" s="13"/>
      <c r="D21" s="9"/>
      <c r="E21" s="90" t="s">
        <v>32</v>
      </c>
      <c r="F21" s="90" t="s">
        <v>33</v>
      </c>
      <c r="G21" s="90" t="s">
        <v>34</v>
      </c>
      <c r="H21" s="6"/>
      <c r="I21" s="6"/>
      <c r="J21" s="6"/>
      <c r="K21" s="6"/>
      <c r="L21" s="6"/>
      <c r="M21" s="6"/>
      <c r="N21" s="6"/>
      <c r="O21" s="6"/>
      <c r="P21" s="6"/>
    </row>
    <row r="22" spans="1:17" x14ac:dyDescent="0.2">
      <c r="A22" s="14"/>
      <c r="B22" s="5"/>
      <c r="C22" s="15"/>
      <c r="D22" s="10"/>
      <c r="E22" s="91"/>
      <c r="F22" s="91"/>
      <c r="G22" s="91"/>
    </row>
    <row r="23" spans="1:17" x14ac:dyDescent="0.2">
      <c r="A23" s="14"/>
      <c r="C23" s="16"/>
      <c r="D23" s="10"/>
      <c r="E23" s="92"/>
      <c r="F23" s="92"/>
      <c r="G23" s="92"/>
    </row>
    <row r="24" spans="1:17" ht="15" customHeight="1" x14ac:dyDescent="0.2">
      <c r="A24" s="82" t="s">
        <v>35</v>
      </c>
      <c r="B24" s="83"/>
      <c r="C24" s="84"/>
      <c r="D24" s="7" t="s">
        <v>36</v>
      </c>
      <c r="E24" s="85" t="s">
        <v>37</v>
      </c>
      <c r="F24" s="86"/>
      <c r="G24" s="8" t="s">
        <v>38</v>
      </c>
      <c r="J24" s="1" t="s">
        <v>72</v>
      </c>
    </row>
    <row r="25" spans="1:17" ht="15.95" customHeight="1" x14ac:dyDescent="0.2">
      <c r="A25" s="79" t="s">
        <v>39</v>
      </c>
      <c r="B25" s="80"/>
      <c r="C25" s="80"/>
      <c r="D25" s="19" t="s">
        <v>40</v>
      </c>
      <c r="E25" s="21">
        <v>0.77</v>
      </c>
      <c r="F25" s="27">
        <v>2.58</v>
      </c>
      <c r="G25" s="22">
        <f>+(1-(E25/F25))*100</f>
        <v>70.15503875968993</v>
      </c>
      <c r="J25" s="1" t="s">
        <v>73</v>
      </c>
    </row>
    <row r="26" spans="1:17" ht="15.95" customHeight="1" x14ac:dyDescent="0.2">
      <c r="A26" s="70" t="s">
        <v>41</v>
      </c>
      <c r="B26" s="71"/>
      <c r="C26" s="71"/>
      <c r="D26" s="20" t="s">
        <v>42</v>
      </c>
      <c r="E26" s="3">
        <v>0.83</v>
      </c>
      <c r="F26" s="10">
        <v>2.56</v>
      </c>
      <c r="G26" s="23">
        <f>+(1-(E26/F26))*100</f>
        <v>67.578125</v>
      </c>
      <c r="J26" s="1" t="s">
        <v>73</v>
      </c>
    </row>
    <row r="27" spans="1:17" ht="15.95" customHeight="1" x14ac:dyDescent="0.2">
      <c r="A27" s="70" t="s">
        <v>43</v>
      </c>
      <c r="B27" s="71"/>
      <c r="C27" s="71"/>
      <c r="D27" s="20" t="s">
        <v>44</v>
      </c>
      <c r="E27" s="3">
        <v>0.76</v>
      </c>
      <c r="F27" s="10">
        <v>2.67</v>
      </c>
      <c r="G27" s="23">
        <f t="shared" ref="G27:G38" si="0">+(1-(E27/F27))*100</f>
        <v>71.535580524344567</v>
      </c>
      <c r="J27" s="1" t="s">
        <v>73</v>
      </c>
    </row>
    <row r="28" spans="1:17" ht="15.95" customHeight="1" x14ac:dyDescent="0.2">
      <c r="A28" s="70" t="s">
        <v>45</v>
      </c>
      <c r="B28" s="71"/>
      <c r="C28" s="71"/>
      <c r="D28" s="20" t="s">
        <v>46</v>
      </c>
      <c r="E28" s="3">
        <v>0.74</v>
      </c>
      <c r="F28" s="10">
        <v>2.58</v>
      </c>
      <c r="G28" s="23">
        <f t="shared" si="0"/>
        <v>71.31782945736434</v>
      </c>
      <c r="J28" s="1" t="s">
        <v>73</v>
      </c>
    </row>
    <row r="29" spans="1:17" ht="15.95" customHeight="1" x14ac:dyDescent="0.2">
      <c r="A29" s="70" t="s">
        <v>47</v>
      </c>
      <c r="B29" s="71"/>
      <c r="C29" s="71"/>
      <c r="D29" s="20" t="s">
        <v>48</v>
      </c>
      <c r="E29" s="3">
        <v>0.82</v>
      </c>
      <c r="F29" s="10">
        <v>2.5499999999999998</v>
      </c>
      <c r="G29" s="23">
        <f t="shared" si="0"/>
        <v>67.843137254901961</v>
      </c>
      <c r="J29" s="1" t="s">
        <v>73</v>
      </c>
    </row>
    <row r="30" spans="1:17" ht="15.95" customHeight="1" x14ac:dyDescent="0.2">
      <c r="A30" s="70" t="s">
        <v>49</v>
      </c>
      <c r="B30" s="71"/>
      <c r="C30" s="71"/>
      <c r="D30" s="20" t="s">
        <v>50</v>
      </c>
      <c r="E30" s="3">
        <v>0.75</v>
      </c>
      <c r="F30" s="10">
        <v>2.52</v>
      </c>
      <c r="G30" s="23">
        <f t="shared" si="0"/>
        <v>70.238095238095227</v>
      </c>
      <c r="J30" s="1" t="s">
        <v>73</v>
      </c>
    </row>
    <row r="31" spans="1:17" ht="15.95" customHeight="1" x14ac:dyDescent="0.2">
      <c r="A31" s="70" t="s">
        <v>51</v>
      </c>
      <c r="B31" s="71"/>
      <c r="C31" s="71"/>
      <c r="D31" s="20" t="s">
        <v>52</v>
      </c>
      <c r="E31" s="3">
        <v>0.68</v>
      </c>
      <c r="F31" s="10">
        <v>2.5499999999999998</v>
      </c>
      <c r="G31" s="23">
        <f t="shared" si="0"/>
        <v>73.333333333333329</v>
      </c>
      <c r="J31" s="1" t="s">
        <v>73</v>
      </c>
    </row>
    <row r="32" spans="1:17" ht="15.95" customHeight="1" x14ac:dyDescent="0.2">
      <c r="A32" s="70" t="s">
        <v>53</v>
      </c>
      <c r="B32" s="71"/>
      <c r="C32" s="71"/>
      <c r="D32" s="20" t="s">
        <v>54</v>
      </c>
      <c r="E32" s="3">
        <v>0.76</v>
      </c>
      <c r="F32" s="10">
        <v>2.62</v>
      </c>
      <c r="G32" s="23">
        <f t="shared" si="0"/>
        <v>70.992366412213741</v>
      </c>
      <c r="J32" s="1" t="s">
        <v>73</v>
      </c>
    </row>
    <row r="33" spans="1:18" ht="15.95" customHeight="1" x14ac:dyDescent="0.2">
      <c r="A33" s="70" t="s">
        <v>55</v>
      </c>
      <c r="B33" s="71"/>
      <c r="C33" s="71"/>
      <c r="D33" s="20" t="s">
        <v>56</v>
      </c>
      <c r="E33" s="3">
        <v>0.95</v>
      </c>
      <c r="F33" s="10">
        <v>2.69</v>
      </c>
      <c r="G33" s="23">
        <f t="shared" si="0"/>
        <v>64.684014869888486</v>
      </c>
      <c r="J33" s="1" t="s">
        <v>73</v>
      </c>
    </row>
    <row r="34" spans="1:18" ht="15.95" customHeight="1" x14ac:dyDescent="0.2">
      <c r="A34" s="70" t="s">
        <v>57</v>
      </c>
      <c r="B34" s="71"/>
      <c r="C34" s="71"/>
      <c r="D34" s="20" t="s">
        <v>58</v>
      </c>
      <c r="E34" s="3">
        <v>0.79</v>
      </c>
      <c r="F34" s="10">
        <v>2.74</v>
      </c>
      <c r="G34" s="23">
        <f t="shared" si="0"/>
        <v>71.167883211678841</v>
      </c>
      <c r="J34" s="1" t="s">
        <v>73</v>
      </c>
    </row>
    <row r="35" spans="1:18" ht="15.95" customHeight="1" x14ac:dyDescent="0.2">
      <c r="A35" s="70" t="s">
        <v>59</v>
      </c>
      <c r="B35" s="71"/>
      <c r="C35" s="71"/>
      <c r="D35" s="20" t="s">
        <v>60</v>
      </c>
      <c r="E35" s="3">
        <v>0.84</v>
      </c>
      <c r="F35" s="10">
        <v>2.69</v>
      </c>
      <c r="G35" s="23">
        <f t="shared" si="0"/>
        <v>68.773234200743488</v>
      </c>
      <c r="J35" s="1" t="s">
        <v>73</v>
      </c>
    </row>
    <row r="36" spans="1:18" ht="15.95" customHeight="1" x14ac:dyDescent="0.2">
      <c r="A36" s="70" t="s">
        <v>61</v>
      </c>
      <c r="B36" s="71"/>
      <c r="C36" s="71"/>
      <c r="D36" s="20" t="s">
        <v>62</v>
      </c>
      <c r="E36" s="3">
        <v>0.92</v>
      </c>
      <c r="F36" s="10">
        <v>2.73</v>
      </c>
      <c r="G36" s="23">
        <f t="shared" si="0"/>
        <v>66.300366300366292</v>
      </c>
      <c r="J36" s="1" t="s">
        <v>73</v>
      </c>
    </row>
    <row r="37" spans="1:18" ht="15.95" customHeight="1" x14ac:dyDescent="0.2">
      <c r="A37" s="70" t="s">
        <v>63</v>
      </c>
      <c r="B37" s="71"/>
      <c r="C37" s="71"/>
      <c r="D37" s="20" t="s">
        <v>64</v>
      </c>
      <c r="E37" s="3">
        <v>0.74</v>
      </c>
      <c r="F37" s="10">
        <v>2.7</v>
      </c>
      <c r="G37" s="23">
        <f t="shared" si="0"/>
        <v>72.592592592592595</v>
      </c>
      <c r="J37" s="1" t="s">
        <v>73</v>
      </c>
    </row>
    <row r="38" spans="1:18" ht="15.95" customHeight="1" x14ac:dyDescent="0.2">
      <c r="A38" s="70" t="s">
        <v>65</v>
      </c>
      <c r="B38" s="71"/>
      <c r="C38" s="71"/>
      <c r="D38" s="20" t="s">
        <v>66</v>
      </c>
      <c r="E38" s="3">
        <v>0.82</v>
      </c>
      <c r="F38" s="10">
        <v>2.73</v>
      </c>
      <c r="G38" s="23">
        <f t="shared" si="0"/>
        <v>69.963369963369956</v>
      </c>
      <c r="J38" s="1" t="s">
        <v>73</v>
      </c>
    </row>
    <row r="39" spans="1:18" ht="15.95" customHeight="1" x14ac:dyDescent="0.2">
      <c r="A39" s="68" t="s">
        <v>67</v>
      </c>
      <c r="B39" s="69"/>
      <c r="C39" s="69"/>
      <c r="D39" s="24" t="s">
        <v>68</v>
      </c>
      <c r="E39" s="25">
        <v>0.92</v>
      </c>
      <c r="F39" s="28">
        <v>2.65</v>
      </c>
      <c r="G39" s="26">
        <f>+(1-(E39/F39))*100</f>
        <v>65.283018867924525</v>
      </c>
      <c r="J39" s="1" t="s">
        <v>73</v>
      </c>
    </row>
    <row r="40" spans="1:18" ht="15.75" customHeight="1" x14ac:dyDescent="0.2">
      <c r="A40" s="93" t="s">
        <v>69</v>
      </c>
      <c r="B40" s="94"/>
      <c r="C40" s="94"/>
      <c r="D40" s="29" t="s">
        <v>70</v>
      </c>
      <c r="E40" s="30">
        <v>0.87</v>
      </c>
      <c r="F40" s="32">
        <v>2.73</v>
      </c>
      <c r="G40" s="31">
        <f>+(1-(E40/F40))*100</f>
        <v>68.131868131868131</v>
      </c>
      <c r="J40" s="1" t="s">
        <v>73</v>
      </c>
    </row>
    <row r="41" spans="1:18" ht="15.75" customHeight="1" x14ac:dyDescent="0.2">
      <c r="A41" s="79" t="s">
        <v>178</v>
      </c>
      <c r="B41" s="80"/>
      <c r="C41" s="80"/>
      <c r="D41" s="19" t="s">
        <v>179</v>
      </c>
      <c r="E41" s="59">
        <v>0.97</v>
      </c>
      <c r="F41" s="48">
        <v>2.4700000000000002</v>
      </c>
      <c r="G41" s="49">
        <f>+(1-(E41/F41))*100</f>
        <v>60.728744939271259</v>
      </c>
      <c r="H41" s="17"/>
      <c r="I41" s="17"/>
      <c r="J41" s="1" t="s">
        <v>208</v>
      </c>
      <c r="K41" s="17"/>
      <c r="L41" s="17"/>
      <c r="M41" s="17"/>
      <c r="N41" s="17"/>
      <c r="O41" s="17"/>
      <c r="P41" s="17"/>
      <c r="Q41" s="17"/>
      <c r="R41" s="17"/>
    </row>
    <row r="42" spans="1:18" ht="15.75" customHeight="1" x14ac:dyDescent="0.2">
      <c r="A42" s="70" t="s">
        <v>180</v>
      </c>
      <c r="B42" s="71"/>
      <c r="C42" s="71"/>
      <c r="D42" s="20" t="s">
        <v>181</v>
      </c>
      <c r="E42" s="60">
        <v>0.96</v>
      </c>
      <c r="F42" s="51">
        <v>2.5099999999999998</v>
      </c>
      <c r="G42" s="52">
        <f t="shared" ref="G42:G55" si="1">+(1-(E42/F42))*100</f>
        <v>61.752988047808763</v>
      </c>
      <c r="H42" s="17"/>
      <c r="I42" s="17"/>
      <c r="J42" s="1" t="s">
        <v>208</v>
      </c>
      <c r="K42" s="17"/>
      <c r="L42" s="17"/>
      <c r="M42" s="17"/>
      <c r="N42" s="17"/>
      <c r="O42" s="17"/>
      <c r="P42" s="17"/>
      <c r="Q42" s="17"/>
      <c r="R42" s="17"/>
    </row>
    <row r="43" spans="1:18" ht="15.75" customHeight="1" x14ac:dyDescent="0.2">
      <c r="A43" s="70" t="s">
        <v>182</v>
      </c>
      <c r="B43" s="71"/>
      <c r="C43" s="71"/>
      <c r="D43" s="20" t="s">
        <v>183</v>
      </c>
      <c r="E43" s="60">
        <v>0.95</v>
      </c>
      <c r="F43" s="51">
        <v>2.5299999999999998</v>
      </c>
      <c r="G43" s="52">
        <f t="shared" si="1"/>
        <v>62.450592885375485</v>
      </c>
      <c r="H43" s="17"/>
      <c r="I43" s="17"/>
      <c r="J43" s="1" t="s">
        <v>208</v>
      </c>
      <c r="K43" s="17"/>
      <c r="L43" s="17"/>
      <c r="M43" s="17"/>
      <c r="N43" s="17"/>
      <c r="O43" s="17"/>
      <c r="P43" s="17"/>
      <c r="Q43" s="17"/>
      <c r="R43" s="17"/>
    </row>
    <row r="44" spans="1:18" ht="15.75" customHeight="1" x14ac:dyDescent="0.2">
      <c r="A44" s="70" t="s">
        <v>184</v>
      </c>
      <c r="B44" s="71"/>
      <c r="C44" s="71"/>
      <c r="D44" s="20" t="s">
        <v>185</v>
      </c>
      <c r="E44" s="60">
        <v>0.96</v>
      </c>
      <c r="F44" s="51">
        <v>2.48</v>
      </c>
      <c r="G44" s="52">
        <f t="shared" si="1"/>
        <v>61.29032258064516</v>
      </c>
      <c r="H44" s="17"/>
      <c r="I44" s="17"/>
      <c r="J44" s="1" t="s">
        <v>208</v>
      </c>
      <c r="K44" s="17"/>
      <c r="L44" s="17"/>
      <c r="M44" s="17"/>
      <c r="N44" s="17"/>
      <c r="O44" s="17"/>
      <c r="P44" s="17"/>
      <c r="Q44" s="17"/>
      <c r="R44" s="17"/>
    </row>
    <row r="45" spans="1:18" ht="15.75" customHeight="1" x14ac:dyDescent="0.2">
      <c r="A45" s="70" t="s">
        <v>186</v>
      </c>
      <c r="B45" s="71"/>
      <c r="C45" s="71"/>
      <c r="D45" s="20" t="s">
        <v>187</v>
      </c>
      <c r="E45" s="60">
        <v>0.95</v>
      </c>
      <c r="F45" s="51">
        <v>2.5099999999999998</v>
      </c>
      <c r="G45" s="52">
        <f t="shared" si="1"/>
        <v>62.151394422310759</v>
      </c>
      <c r="H45" s="17"/>
      <c r="I45" s="17"/>
      <c r="J45" s="1" t="s">
        <v>208</v>
      </c>
      <c r="K45" s="17"/>
      <c r="L45" s="17"/>
      <c r="M45" s="17"/>
      <c r="N45" s="17"/>
      <c r="O45" s="17"/>
      <c r="P45" s="17"/>
      <c r="Q45" s="17"/>
      <c r="R45" s="17"/>
    </row>
    <row r="46" spans="1:18" ht="15.75" customHeight="1" x14ac:dyDescent="0.2">
      <c r="A46" s="70" t="s">
        <v>188</v>
      </c>
      <c r="B46" s="71"/>
      <c r="C46" s="71"/>
      <c r="D46" s="20" t="s">
        <v>189</v>
      </c>
      <c r="E46" s="60">
        <v>0.94</v>
      </c>
      <c r="F46" s="51">
        <v>2.4900000000000002</v>
      </c>
      <c r="G46" s="52">
        <f t="shared" si="1"/>
        <v>62.24899598393575</v>
      </c>
      <c r="H46" s="17"/>
      <c r="I46" s="17"/>
      <c r="J46" s="1" t="s">
        <v>208</v>
      </c>
      <c r="K46" s="17"/>
      <c r="L46" s="17"/>
      <c r="M46" s="17"/>
      <c r="N46" s="17"/>
      <c r="O46" s="17"/>
      <c r="P46" s="17"/>
      <c r="Q46" s="17"/>
      <c r="R46" s="17"/>
    </row>
    <row r="47" spans="1:18" ht="15.75" customHeight="1" x14ac:dyDescent="0.2">
      <c r="A47" s="70" t="s">
        <v>190</v>
      </c>
      <c r="B47" s="71"/>
      <c r="C47" s="71"/>
      <c r="D47" s="20" t="s">
        <v>191</v>
      </c>
      <c r="E47" s="60">
        <v>0.87</v>
      </c>
      <c r="F47" s="51">
        <v>2.5299999999999998</v>
      </c>
      <c r="G47" s="52">
        <f t="shared" si="1"/>
        <v>65.612648221343875</v>
      </c>
      <c r="H47" s="17"/>
      <c r="I47" s="17"/>
      <c r="J47" s="1" t="s">
        <v>208</v>
      </c>
      <c r="K47" s="17"/>
      <c r="L47" s="17"/>
      <c r="M47" s="17"/>
      <c r="N47" s="17"/>
      <c r="O47" s="17"/>
      <c r="P47" s="17"/>
      <c r="Q47" s="17"/>
      <c r="R47" s="17"/>
    </row>
    <row r="48" spans="1:18" ht="18" customHeight="1" x14ac:dyDescent="0.2">
      <c r="A48" s="70" t="s">
        <v>192</v>
      </c>
      <c r="B48" s="71"/>
      <c r="C48" s="71"/>
      <c r="D48" s="20" t="s">
        <v>193</v>
      </c>
      <c r="E48" s="60">
        <v>0.91</v>
      </c>
      <c r="F48" s="51">
        <v>2.54</v>
      </c>
      <c r="G48" s="52">
        <f t="shared" si="1"/>
        <v>64.173228346456696</v>
      </c>
      <c r="H48" s="17"/>
      <c r="I48" s="17"/>
      <c r="J48" s="1" t="s">
        <v>208</v>
      </c>
      <c r="K48" s="17"/>
      <c r="L48" s="17"/>
      <c r="M48" s="17"/>
      <c r="N48" s="17"/>
      <c r="O48" s="17"/>
      <c r="P48" s="17"/>
      <c r="Q48" s="17"/>
      <c r="R48" s="17"/>
    </row>
    <row r="49" spans="1:18" ht="18" customHeight="1" x14ac:dyDescent="0.2">
      <c r="A49" s="70" t="s">
        <v>194</v>
      </c>
      <c r="B49" s="71"/>
      <c r="C49" s="71"/>
      <c r="D49" s="20" t="s">
        <v>195</v>
      </c>
      <c r="E49" s="60">
        <v>0.9</v>
      </c>
      <c r="F49" s="51">
        <v>2.57</v>
      </c>
      <c r="G49" s="52">
        <f t="shared" si="1"/>
        <v>64.980544747081709</v>
      </c>
      <c r="H49" s="17"/>
      <c r="I49" s="17"/>
      <c r="J49" s="1" t="s">
        <v>208</v>
      </c>
      <c r="K49" s="17"/>
      <c r="L49" s="17"/>
      <c r="M49" s="17"/>
      <c r="N49" s="17"/>
      <c r="O49" s="17"/>
      <c r="P49" s="17"/>
      <c r="Q49" s="17"/>
      <c r="R49" s="17"/>
    </row>
    <row r="50" spans="1:18" ht="18" customHeight="1" x14ac:dyDescent="0.2">
      <c r="A50" s="70" t="s">
        <v>196</v>
      </c>
      <c r="B50" s="71"/>
      <c r="C50" s="71"/>
      <c r="D50" s="20" t="s">
        <v>197</v>
      </c>
      <c r="E50" s="60">
        <v>0.88</v>
      </c>
      <c r="F50" s="51">
        <v>2.56</v>
      </c>
      <c r="G50" s="52">
        <f t="shared" si="1"/>
        <v>65.625</v>
      </c>
      <c r="H50" s="17"/>
      <c r="I50" s="17"/>
      <c r="J50" s="1" t="s">
        <v>208</v>
      </c>
      <c r="K50" s="17"/>
      <c r="L50" s="17"/>
      <c r="M50" s="17"/>
      <c r="N50" s="17"/>
      <c r="O50" s="17"/>
      <c r="P50" s="17"/>
      <c r="Q50" s="17"/>
      <c r="R50" s="17"/>
    </row>
    <row r="51" spans="1:18" ht="18" customHeight="1" x14ac:dyDescent="0.2">
      <c r="A51" s="70" t="s">
        <v>198</v>
      </c>
      <c r="B51" s="71"/>
      <c r="C51" s="71"/>
      <c r="D51" s="20" t="s">
        <v>199</v>
      </c>
      <c r="E51" s="60">
        <v>0.9</v>
      </c>
      <c r="F51" s="51">
        <v>2.57</v>
      </c>
      <c r="G51" s="52">
        <f t="shared" si="1"/>
        <v>64.980544747081709</v>
      </c>
      <c r="H51" s="17"/>
      <c r="I51" s="17"/>
      <c r="J51" s="1" t="s">
        <v>208</v>
      </c>
      <c r="K51" s="17"/>
      <c r="L51" s="17"/>
      <c r="M51" s="17"/>
      <c r="N51" s="17"/>
      <c r="O51" s="17"/>
      <c r="P51" s="17"/>
      <c r="Q51" s="17"/>
      <c r="R51" s="17"/>
    </row>
    <row r="52" spans="1:18" ht="18" customHeight="1" x14ac:dyDescent="0.2">
      <c r="A52" s="70" t="s">
        <v>200</v>
      </c>
      <c r="B52" s="71"/>
      <c r="C52" s="71"/>
      <c r="D52" s="20" t="s">
        <v>201</v>
      </c>
      <c r="E52" s="60">
        <v>0.84</v>
      </c>
      <c r="F52" s="51">
        <v>2.54</v>
      </c>
      <c r="G52" s="52">
        <f t="shared" si="1"/>
        <v>66.929133858267718</v>
      </c>
      <c r="H52" s="17"/>
      <c r="I52" s="17"/>
      <c r="J52" s="1" t="s">
        <v>208</v>
      </c>
      <c r="K52" s="17"/>
      <c r="L52" s="17"/>
      <c r="M52" s="17"/>
      <c r="N52" s="17"/>
      <c r="O52" s="17"/>
      <c r="P52" s="17"/>
      <c r="Q52" s="17"/>
      <c r="R52" s="17"/>
    </row>
    <row r="53" spans="1:18" ht="18" customHeight="1" x14ac:dyDescent="0.2">
      <c r="A53" s="70" t="s">
        <v>202</v>
      </c>
      <c r="B53" s="71"/>
      <c r="C53" s="71"/>
      <c r="D53" s="20" t="s">
        <v>203</v>
      </c>
      <c r="E53" s="60">
        <v>0.98</v>
      </c>
      <c r="F53" s="51">
        <v>2.59</v>
      </c>
      <c r="G53" s="52">
        <f t="shared" si="1"/>
        <v>62.162162162162161</v>
      </c>
      <c r="H53" s="17"/>
      <c r="I53" s="17"/>
      <c r="J53" s="1" t="s">
        <v>208</v>
      </c>
      <c r="K53" s="17"/>
      <c r="L53" s="17"/>
      <c r="M53" s="17"/>
      <c r="N53" s="17"/>
      <c r="O53" s="17"/>
      <c r="P53" s="17"/>
      <c r="Q53" s="17"/>
      <c r="R53" s="17"/>
    </row>
    <row r="54" spans="1:18" ht="18" customHeight="1" x14ac:dyDescent="0.2">
      <c r="A54" s="70" t="s">
        <v>204</v>
      </c>
      <c r="B54" s="71"/>
      <c r="C54" s="71"/>
      <c r="D54" s="20" t="s">
        <v>205</v>
      </c>
      <c r="E54" s="60">
        <v>0.92</v>
      </c>
      <c r="F54" s="51">
        <v>2.57</v>
      </c>
      <c r="G54" s="52">
        <f t="shared" si="1"/>
        <v>64.202334630350194</v>
      </c>
      <c r="H54" s="17"/>
      <c r="I54" s="17"/>
      <c r="J54" s="1" t="s">
        <v>208</v>
      </c>
      <c r="K54" s="17"/>
      <c r="L54" s="17"/>
      <c r="M54" s="17"/>
      <c r="N54" s="17"/>
      <c r="O54" s="17"/>
      <c r="P54" s="17"/>
      <c r="Q54" s="17"/>
      <c r="R54" s="17"/>
    </row>
    <row r="55" spans="1:18" ht="18" customHeight="1" x14ac:dyDescent="0.2">
      <c r="A55" s="68" t="s">
        <v>206</v>
      </c>
      <c r="B55" s="69"/>
      <c r="C55" s="69"/>
      <c r="D55" s="24" t="s">
        <v>207</v>
      </c>
      <c r="E55" s="61">
        <v>0.85</v>
      </c>
      <c r="F55" s="54">
        <v>2.58</v>
      </c>
      <c r="G55" s="55">
        <f t="shared" si="1"/>
        <v>67.054263565891475</v>
      </c>
      <c r="H55" s="17"/>
      <c r="I55" s="17"/>
      <c r="J55" s="1" t="s">
        <v>208</v>
      </c>
      <c r="K55" s="17"/>
      <c r="L55" s="17"/>
      <c r="M55" s="17"/>
      <c r="N55" s="17"/>
      <c r="O55" s="17"/>
      <c r="P55" s="17"/>
      <c r="Q55" s="17"/>
      <c r="R55" s="17"/>
    </row>
    <row r="56" spans="1:18" ht="18" customHeight="1" x14ac:dyDescent="0.2">
      <c r="A56" s="79" t="s">
        <v>209</v>
      </c>
      <c r="B56" s="80"/>
      <c r="C56" s="80"/>
      <c r="D56" s="19" t="s">
        <v>210</v>
      </c>
      <c r="E56" s="59">
        <v>0.86</v>
      </c>
      <c r="F56" s="48">
        <v>2.5499999999999998</v>
      </c>
      <c r="G56" s="49">
        <f>+(1-(E56/F56))*100</f>
        <v>66.274509803921561</v>
      </c>
      <c r="H56" s="17"/>
      <c r="I56" s="17"/>
      <c r="J56" s="1" t="s">
        <v>208</v>
      </c>
      <c r="K56" s="17"/>
      <c r="L56" s="17"/>
      <c r="M56" s="17"/>
      <c r="N56" s="17"/>
      <c r="O56" s="17"/>
      <c r="P56" s="17"/>
      <c r="Q56" s="17"/>
      <c r="R56" s="17"/>
    </row>
    <row r="57" spans="1:18" ht="18" customHeight="1" x14ac:dyDescent="0.2">
      <c r="A57" s="70" t="s">
        <v>211</v>
      </c>
      <c r="B57" s="71"/>
      <c r="C57" s="71"/>
      <c r="D57" s="20" t="s">
        <v>212</v>
      </c>
      <c r="E57" s="60">
        <v>0.83</v>
      </c>
      <c r="F57" s="51">
        <v>2.6</v>
      </c>
      <c r="G57" s="52">
        <f t="shared" ref="G57:G64" si="2">+(1-(E57/F57))*100</f>
        <v>68.07692307692308</v>
      </c>
      <c r="H57" s="17"/>
      <c r="I57" s="17"/>
      <c r="J57" s="1" t="s">
        <v>208</v>
      </c>
      <c r="K57" s="17"/>
      <c r="L57" s="17"/>
      <c r="M57" s="17"/>
      <c r="N57" s="17"/>
      <c r="O57" s="17"/>
      <c r="P57" s="17"/>
      <c r="Q57" s="17"/>
      <c r="R57" s="17"/>
    </row>
    <row r="58" spans="1:18" ht="18" customHeight="1" x14ac:dyDescent="0.2">
      <c r="A58" s="70" t="s">
        <v>213</v>
      </c>
      <c r="B58" s="71"/>
      <c r="C58" s="71"/>
      <c r="D58" s="20" t="s">
        <v>214</v>
      </c>
      <c r="E58" s="60">
        <v>0.91</v>
      </c>
      <c r="F58" s="51">
        <v>2.4900000000000002</v>
      </c>
      <c r="G58" s="52">
        <f t="shared" si="2"/>
        <v>63.453815261044177</v>
      </c>
      <c r="H58" s="17"/>
      <c r="I58" s="17"/>
      <c r="J58" s="1" t="s">
        <v>208</v>
      </c>
      <c r="K58" s="17"/>
      <c r="L58" s="17"/>
      <c r="M58" s="17"/>
      <c r="N58" s="17"/>
      <c r="O58" s="17"/>
      <c r="P58" s="17"/>
      <c r="Q58" s="17"/>
      <c r="R58" s="17"/>
    </row>
    <row r="59" spans="1:18" ht="18" customHeight="1" x14ac:dyDescent="0.2">
      <c r="A59" s="70" t="s">
        <v>215</v>
      </c>
      <c r="B59" s="71"/>
      <c r="C59" s="71"/>
      <c r="D59" s="20" t="s">
        <v>216</v>
      </c>
      <c r="E59" s="60">
        <v>1</v>
      </c>
      <c r="F59" s="51">
        <v>2.4500000000000002</v>
      </c>
      <c r="G59" s="52">
        <f t="shared" si="2"/>
        <v>59.183673469387756</v>
      </c>
      <c r="H59" s="17"/>
      <c r="I59" s="17"/>
      <c r="J59" s="1" t="s">
        <v>208</v>
      </c>
      <c r="K59" s="17"/>
      <c r="L59" s="17"/>
      <c r="M59" s="17"/>
      <c r="N59" s="17"/>
      <c r="O59" s="17"/>
      <c r="P59" s="17"/>
      <c r="Q59" s="17"/>
      <c r="R59" s="17"/>
    </row>
    <row r="60" spans="1:18" ht="18" customHeight="1" x14ac:dyDescent="0.2">
      <c r="A60" s="70" t="s">
        <v>217</v>
      </c>
      <c r="B60" s="71"/>
      <c r="C60" s="71"/>
      <c r="D60" s="20" t="s">
        <v>218</v>
      </c>
      <c r="E60" s="60">
        <v>1</v>
      </c>
      <c r="F60" s="51">
        <v>2.4700000000000002</v>
      </c>
      <c r="G60" s="52">
        <f t="shared" si="2"/>
        <v>59.514170040485823</v>
      </c>
      <c r="H60" s="17"/>
      <c r="I60" s="17"/>
      <c r="J60" s="1" t="s">
        <v>208</v>
      </c>
      <c r="K60" s="17"/>
      <c r="L60" s="17"/>
      <c r="M60" s="17"/>
      <c r="N60" s="17"/>
      <c r="O60" s="17"/>
      <c r="P60" s="17"/>
      <c r="Q60" s="17"/>
      <c r="R60" s="17"/>
    </row>
    <row r="61" spans="1:18" x14ac:dyDescent="0.2">
      <c r="A61" s="70" t="s">
        <v>219</v>
      </c>
      <c r="B61" s="71"/>
      <c r="C61" s="71"/>
      <c r="D61" s="20" t="s">
        <v>220</v>
      </c>
      <c r="E61" s="60">
        <v>0.86</v>
      </c>
      <c r="F61" s="51">
        <v>2.4900000000000002</v>
      </c>
      <c r="G61" s="52">
        <f t="shared" si="2"/>
        <v>65.46184738955823</v>
      </c>
      <c r="H61" s="17"/>
      <c r="I61" s="17"/>
      <c r="J61" s="1" t="s">
        <v>208</v>
      </c>
      <c r="K61" s="17"/>
      <c r="L61" s="17"/>
      <c r="M61" s="17"/>
      <c r="N61" s="17"/>
      <c r="O61" s="17"/>
      <c r="P61" s="17"/>
      <c r="Q61" s="17"/>
      <c r="R61" s="17"/>
    </row>
    <row r="62" spans="1:18" x14ac:dyDescent="0.2">
      <c r="A62" s="70" t="s">
        <v>221</v>
      </c>
      <c r="B62" s="71"/>
      <c r="C62" s="71"/>
      <c r="D62" s="20" t="s">
        <v>222</v>
      </c>
      <c r="E62" s="60">
        <v>0.9</v>
      </c>
      <c r="F62" s="51">
        <v>2.4700000000000002</v>
      </c>
      <c r="G62" s="52">
        <f t="shared" si="2"/>
        <v>63.56275303643725</v>
      </c>
      <c r="H62" s="17"/>
      <c r="I62" s="17"/>
      <c r="J62" s="1" t="s">
        <v>208</v>
      </c>
      <c r="K62" s="17"/>
      <c r="L62" s="17"/>
      <c r="M62" s="17"/>
      <c r="N62" s="17"/>
      <c r="O62" s="17"/>
      <c r="P62" s="17"/>
      <c r="Q62" s="17"/>
      <c r="R62" s="17"/>
    </row>
    <row r="63" spans="1:18" x14ac:dyDescent="0.2">
      <c r="A63" s="70" t="s">
        <v>223</v>
      </c>
      <c r="B63" s="71"/>
      <c r="C63" s="71"/>
      <c r="D63" s="20" t="s">
        <v>224</v>
      </c>
      <c r="E63" s="60">
        <v>0.95</v>
      </c>
      <c r="F63" s="51">
        <v>2.4900000000000002</v>
      </c>
      <c r="G63" s="52">
        <f t="shared" si="2"/>
        <v>61.847389558232933</v>
      </c>
      <c r="H63" s="17"/>
      <c r="I63" s="17"/>
      <c r="J63" s="1" t="s">
        <v>208</v>
      </c>
      <c r="K63" s="17"/>
      <c r="L63" s="17"/>
      <c r="M63" s="17"/>
      <c r="N63" s="17"/>
      <c r="O63" s="17"/>
      <c r="P63" s="17"/>
      <c r="Q63" s="17"/>
      <c r="R63" s="17"/>
    </row>
    <row r="64" spans="1:18" x14ac:dyDescent="0.2">
      <c r="A64" s="68" t="s">
        <v>225</v>
      </c>
      <c r="B64" s="69"/>
      <c r="C64" s="69"/>
      <c r="D64" s="24" t="s">
        <v>226</v>
      </c>
      <c r="E64" s="61">
        <v>0.96</v>
      </c>
      <c r="F64" s="54">
        <v>2.4700000000000002</v>
      </c>
      <c r="G64" s="55">
        <f t="shared" si="2"/>
        <v>61.133603238866407</v>
      </c>
      <c r="J64" s="1" t="s">
        <v>208</v>
      </c>
    </row>
    <row r="65" spans="1:10" x14ac:dyDescent="0.2">
      <c r="A65" s="79" t="s">
        <v>227</v>
      </c>
      <c r="B65" s="80"/>
      <c r="C65" s="80"/>
      <c r="D65" s="19" t="s">
        <v>228</v>
      </c>
      <c r="E65" s="47">
        <v>0.92</v>
      </c>
      <c r="F65" s="48">
        <v>2.6</v>
      </c>
      <c r="G65" s="49">
        <f>+(1-(E65/F65))*100</f>
        <v>64.615384615384613</v>
      </c>
      <c r="J65" s="1" t="s">
        <v>275</v>
      </c>
    </row>
    <row r="66" spans="1:10" x14ac:dyDescent="0.2">
      <c r="A66" s="70" t="s">
        <v>229</v>
      </c>
      <c r="B66" s="71"/>
      <c r="C66" s="71"/>
      <c r="D66" s="20" t="s">
        <v>230</v>
      </c>
      <c r="E66" s="50">
        <v>0.94</v>
      </c>
      <c r="F66" s="51">
        <v>2.61</v>
      </c>
      <c r="G66" s="52">
        <f t="shared" ref="G66:G88" si="3">+(1-(E66/F66))*100</f>
        <v>63.984674329501921</v>
      </c>
      <c r="J66" s="1" t="s">
        <v>275</v>
      </c>
    </row>
    <row r="67" spans="1:10" x14ac:dyDescent="0.2">
      <c r="A67" s="70" t="s">
        <v>231</v>
      </c>
      <c r="B67" s="71"/>
      <c r="C67" s="71"/>
      <c r="D67" s="20" t="s">
        <v>232</v>
      </c>
      <c r="E67" s="50">
        <v>0.85</v>
      </c>
      <c r="F67" s="51">
        <v>2.62</v>
      </c>
      <c r="G67" s="52">
        <f t="shared" si="3"/>
        <v>67.55725190839695</v>
      </c>
      <c r="J67" s="1" t="s">
        <v>275</v>
      </c>
    </row>
    <row r="68" spans="1:10" x14ac:dyDescent="0.2">
      <c r="A68" s="70" t="s">
        <v>233</v>
      </c>
      <c r="B68" s="71"/>
      <c r="C68" s="71"/>
      <c r="D68" s="20" t="s">
        <v>234</v>
      </c>
      <c r="E68" s="50">
        <v>0.86</v>
      </c>
      <c r="F68" s="51">
        <v>2.62</v>
      </c>
      <c r="G68" s="52">
        <f t="shared" si="3"/>
        <v>67.175572519083971</v>
      </c>
      <c r="J68" s="1" t="s">
        <v>275</v>
      </c>
    </row>
    <row r="69" spans="1:10" x14ac:dyDescent="0.2">
      <c r="A69" s="70" t="s">
        <v>235</v>
      </c>
      <c r="B69" s="71"/>
      <c r="C69" s="71"/>
      <c r="D69" s="20" t="s">
        <v>236</v>
      </c>
      <c r="E69" s="50">
        <v>0.82</v>
      </c>
      <c r="F69" s="51">
        <v>2.56</v>
      </c>
      <c r="G69" s="52">
        <f t="shared" si="3"/>
        <v>67.96875</v>
      </c>
      <c r="J69" s="1" t="s">
        <v>275</v>
      </c>
    </row>
    <row r="70" spans="1:10" x14ac:dyDescent="0.2">
      <c r="A70" s="70" t="s">
        <v>237</v>
      </c>
      <c r="B70" s="71"/>
      <c r="C70" s="71"/>
      <c r="D70" s="20" t="s">
        <v>238</v>
      </c>
      <c r="E70" s="50">
        <v>0.84</v>
      </c>
      <c r="F70" s="51">
        <v>2.62</v>
      </c>
      <c r="G70" s="52">
        <f t="shared" si="3"/>
        <v>67.938931297709928</v>
      </c>
      <c r="J70" s="1" t="s">
        <v>275</v>
      </c>
    </row>
    <row r="71" spans="1:10" x14ac:dyDescent="0.2">
      <c r="A71" s="70" t="s">
        <v>239</v>
      </c>
      <c r="B71" s="71"/>
      <c r="C71" s="71"/>
      <c r="D71" s="20" t="s">
        <v>240</v>
      </c>
      <c r="E71" s="50">
        <v>0.89</v>
      </c>
      <c r="F71" s="51">
        <v>2.6</v>
      </c>
      <c r="G71" s="52">
        <f t="shared" si="3"/>
        <v>65.769230769230774</v>
      </c>
      <c r="J71" s="1" t="s">
        <v>275</v>
      </c>
    </row>
    <row r="72" spans="1:10" x14ac:dyDescent="0.2">
      <c r="A72" s="70" t="s">
        <v>241</v>
      </c>
      <c r="B72" s="71"/>
      <c r="C72" s="71"/>
      <c r="D72" s="20" t="s">
        <v>242</v>
      </c>
      <c r="E72" s="50">
        <v>0.88</v>
      </c>
      <c r="F72" s="51">
        <v>2.62</v>
      </c>
      <c r="G72" s="52">
        <f t="shared" si="3"/>
        <v>66.412213740458014</v>
      </c>
      <c r="J72" s="1" t="s">
        <v>275</v>
      </c>
    </row>
    <row r="73" spans="1:10" x14ac:dyDescent="0.2">
      <c r="A73" s="70" t="s">
        <v>243</v>
      </c>
      <c r="B73" s="71"/>
      <c r="C73" s="71"/>
      <c r="D73" s="20" t="s">
        <v>244</v>
      </c>
      <c r="E73" s="50">
        <v>0.96</v>
      </c>
      <c r="F73" s="51">
        <v>2.39</v>
      </c>
      <c r="G73" s="52">
        <f t="shared" si="3"/>
        <v>59.832635983263607</v>
      </c>
      <c r="J73" s="1" t="s">
        <v>275</v>
      </c>
    </row>
    <row r="74" spans="1:10" x14ac:dyDescent="0.2">
      <c r="A74" s="70" t="s">
        <v>245</v>
      </c>
      <c r="B74" s="71"/>
      <c r="C74" s="71"/>
      <c r="D74" s="20" t="s">
        <v>246</v>
      </c>
      <c r="E74" s="50">
        <v>1.1000000000000001</v>
      </c>
      <c r="F74" s="51">
        <v>2.4300000000000002</v>
      </c>
      <c r="G74" s="52">
        <f t="shared" si="3"/>
        <v>54.732510288065853</v>
      </c>
      <c r="J74" s="1" t="s">
        <v>275</v>
      </c>
    </row>
    <row r="75" spans="1:10" x14ac:dyDescent="0.2">
      <c r="A75" s="70" t="s">
        <v>247</v>
      </c>
      <c r="B75" s="71"/>
      <c r="C75" s="71"/>
      <c r="D75" s="20" t="s">
        <v>248</v>
      </c>
      <c r="E75" s="50">
        <v>0.9</v>
      </c>
      <c r="F75" s="51">
        <v>2.44</v>
      </c>
      <c r="G75" s="52">
        <f t="shared" si="3"/>
        <v>63.114754098360649</v>
      </c>
      <c r="J75" s="1" t="s">
        <v>275</v>
      </c>
    </row>
    <row r="76" spans="1:10" x14ac:dyDescent="0.2">
      <c r="A76" s="70" t="s">
        <v>249</v>
      </c>
      <c r="B76" s="71"/>
      <c r="C76" s="71"/>
      <c r="D76" s="20" t="s">
        <v>250</v>
      </c>
      <c r="E76" s="50">
        <v>1</v>
      </c>
      <c r="F76" s="51">
        <v>2.4500000000000002</v>
      </c>
      <c r="G76" s="52">
        <f t="shared" si="3"/>
        <v>59.183673469387756</v>
      </c>
      <c r="J76" s="1" t="s">
        <v>275</v>
      </c>
    </row>
    <row r="77" spans="1:10" x14ac:dyDescent="0.2">
      <c r="A77" s="70" t="s">
        <v>251</v>
      </c>
      <c r="B77" s="71"/>
      <c r="C77" s="71"/>
      <c r="D77" s="20" t="s">
        <v>252</v>
      </c>
      <c r="E77" s="50">
        <v>1.08</v>
      </c>
      <c r="F77" s="51">
        <v>2.39</v>
      </c>
      <c r="G77" s="52">
        <f t="shared" si="3"/>
        <v>54.811715481171539</v>
      </c>
      <c r="J77" s="1" t="s">
        <v>275</v>
      </c>
    </row>
    <row r="78" spans="1:10" x14ac:dyDescent="0.2">
      <c r="A78" s="70" t="s">
        <v>253</v>
      </c>
      <c r="B78" s="71"/>
      <c r="C78" s="71"/>
      <c r="D78" s="20" t="s">
        <v>254</v>
      </c>
      <c r="E78" s="50">
        <v>0.9</v>
      </c>
      <c r="F78" s="51">
        <v>2.44</v>
      </c>
      <c r="G78" s="52">
        <f t="shared" si="3"/>
        <v>63.114754098360649</v>
      </c>
      <c r="J78" s="1" t="s">
        <v>275</v>
      </c>
    </row>
    <row r="79" spans="1:10" x14ac:dyDescent="0.2">
      <c r="A79" s="68" t="s">
        <v>255</v>
      </c>
      <c r="B79" s="69"/>
      <c r="C79" s="69"/>
      <c r="D79" s="24" t="s">
        <v>256</v>
      </c>
      <c r="E79" s="53">
        <v>0.89</v>
      </c>
      <c r="F79" s="54">
        <v>2.44</v>
      </c>
      <c r="G79" s="55">
        <f t="shared" si="3"/>
        <v>63.524590163934427</v>
      </c>
      <c r="J79" s="1" t="s">
        <v>275</v>
      </c>
    </row>
    <row r="80" spans="1:10" x14ac:dyDescent="0.2">
      <c r="A80" s="79" t="s">
        <v>257</v>
      </c>
      <c r="B80" s="80"/>
      <c r="C80" s="80"/>
      <c r="D80" s="19" t="s">
        <v>258</v>
      </c>
      <c r="E80" s="59">
        <v>0.9</v>
      </c>
      <c r="F80" s="48">
        <v>2.4500000000000002</v>
      </c>
      <c r="G80" s="22">
        <f t="shared" si="3"/>
        <v>63.265306122448983</v>
      </c>
      <c r="J80" s="1" t="s">
        <v>275</v>
      </c>
    </row>
    <row r="81" spans="1:10" x14ac:dyDescent="0.2">
      <c r="A81" s="70" t="s">
        <v>259</v>
      </c>
      <c r="B81" s="71"/>
      <c r="C81" s="71"/>
      <c r="D81" s="20" t="s">
        <v>260</v>
      </c>
      <c r="E81" s="60">
        <v>0.92</v>
      </c>
      <c r="F81" s="51">
        <v>2.44</v>
      </c>
      <c r="G81" s="23">
        <f t="shared" si="3"/>
        <v>62.295081967213115</v>
      </c>
      <c r="J81" s="1" t="s">
        <v>275</v>
      </c>
    </row>
    <row r="82" spans="1:10" x14ac:dyDescent="0.2">
      <c r="A82" s="70" t="s">
        <v>261</v>
      </c>
      <c r="B82" s="71"/>
      <c r="C82" s="71"/>
      <c r="D82" s="20" t="s">
        <v>262</v>
      </c>
      <c r="E82" s="60">
        <v>1.06</v>
      </c>
      <c r="F82" s="51">
        <v>2.4900000000000002</v>
      </c>
      <c r="G82" s="23">
        <f t="shared" si="3"/>
        <v>57.429718875502012</v>
      </c>
      <c r="J82" s="1" t="s">
        <v>275</v>
      </c>
    </row>
    <row r="83" spans="1:10" x14ac:dyDescent="0.2">
      <c r="A83" s="70" t="s">
        <v>263</v>
      </c>
      <c r="B83" s="71"/>
      <c r="C83" s="71"/>
      <c r="D83" s="20" t="s">
        <v>264</v>
      </c>
      <c r="E83" s="60">
        <v>1.03</v>
      </c>
      <c r="F83" s="51">
        <v>2.4900000000000002</v>
      </c>
      <c r="G83" s="23">
        <f t="shared" si="3"/>
        <v>58.634538152610439</v>
      </c>
      <c r="J83" s="1" t="s">
        <v>275</v>
      </c>
    </row>
    <row r="84" spans="1:10" x14ac:dyDescent="0.2">
      <c r="A84" s="70" t="s">
        <v>265</v>
      </c>
      <c r="B84" s="71"/>
      <c r="C84" s="71"/>
      <c r="D84" s="20" t="s">
        <v>266</v>
      </c>
      <c r="E84" s="60">
        <v>1.02</v>
      </c>
      <c r="F84" s="51">
        <v>2.5</v>
      </c>
      <c r="G84" s="23">
        <f t="shared" si="3"/>
        <v>59.199999999999996</v>
      </c>
      <c r="J84" s="1" t="s">
        <v>275</v>
      </c>
    </row>
    <row r="85" spans="1:10" x14ac:dyDescent="0.2">
      <c r="A85" s="70" t="s">
        <v>267</v>
      </c>
      <c r="B85" s="71"/>
      <c r="C85" s="71"/>
      <c r="D85" s="20" t="s">
        <v>268</v>
      </c>
      <c r="E85" s="60">
        <v>0.97</v>
      </c>
      <c r="F85" s="51">
        <v>2.4500000000000002</v>
      </c>
      <c r="G85" s="23">
        <f t="shared" si="3"/>
        <v>60.408163265306122</v>
      </c>
      <c r="J85" s="1" t="s">
        <v>275</v>
      </c>
    </row>
    <row r="86" spans="1:10" x14ac:dyDescent="0.2">
      <c r="A86" s="70" t="s">
        <v>269</v>
      </c>
      <c r="B86" s="71"/>
      <c r="C86" s="71"/>
      <c r="D86" s="20" t="s">
        <v>270</v>
      </c>
      <c r="E86" s="60">
        <v>0.93</v>
      </c>
      <c r="F86" s="51">
        <v>2.5</v>
      </c>
      <c r="G86" s="23">
        <f t="shared" si="3"/>
        <v>62.8</v>
      </c>
      <c r="J86" s="1" t="s">
        <v>275</v>
      </c>
    </row>
    <row r="87" spans="1:10" x14ac:dyDescent="0.2">
      <c r="A87" s="70" t="s">
        <v>271</v>
      </c>
      <c r="B87" s="71"/>
      <c r="C87" s="71"/>
      <c r="D87" s="20" t="s">
        <v>272</v>
      </c>
      <c r="E87" s="60">
        <v>1.01</v>
      </c>
      <c r="F87" s="51">
        <v>2.4900000000000002</v>
      </c>
      <c r="G87" s="23">
        <f t="shared" si="3"/>
        <v>59.437751004016071</v>
      </c>
      <c r="J87" s="1" t="s">
        <v>275</v>
      </c>
    </row>
    <row r="88" spans="1:10" x14ac:dyDescent="0.2">
      <c r="A88" s="68" t="s">
        <v>273</v>
      </c>
      <c r="B88" s="69"/>
      <c r="C88" s="69"/>
      <c r="D88" s="24" t="s">
        <v>274</v>
      </c>
      <c r="E88" s="61">
        <v>0.98</v>
      </c>
      <c r="F88" s="54">
        <v>2.48</v>
      </c>
      <c r="G88" s="26">
        <f t="shared" si="3"/>
        <v>60.483870967741936</v>
      </c>
      <c r="J88" s="1" t="s">
        <v>275</v>
      </c>
    </row>
    <row r="89" spans="1:10" x14ac:dyDescent="0.2">
      <c r="A89" s="79" t="s">
        <v>276</v>
      </c>
      <c r="B89" s="80"/>
      <c r="C89" s="97"/>
      <c r="D89" s="19" t="s">
        <v>277</v>
      </c>
      <c r="E89" s="62">
        <v>0.83</v>
      </c>
      <c r="F89" s="27">
        <v>2.44</v>
      </c>
      <c r="G89" s="49">
        <f>+(1-(E89/F89))*100</f>
        <v>65.983606557377044</v>
      </c>
      <c r="J89" s="1" t="s">
        <v>292</v>
      </c>
    </row>
    <row r="90" spans="1:10" x14ac:dyDescent="0.2">
      <c r="A90" s="70" t="s">
        <v>278</v>
      </c>
      <c r="B90" s="71"/>
      <c r="C90" s="95"/>
      <c r="D90" s="20" t="s">
        <v>279</v>
      </c>
      <c r="E90" s="63">
        <v>0.86</v>
      </c>
      <c r="F90" s="10">
        <v>2.54</v>
      </c>
      <c r="G90" s="52">
        <f t="shared" ref="G90:G96" si="4">+(1-(E90/F90))*100</f>
        <v>66.141732283464563</v>
      </c>
      <c r="J90" s="1" t="s">
        <v>292</v>
      </c>
    </row>
    <row r="91" spans="1:10" x14ac:dyDescent="0.2">
      <c r="A91" s="70" t="s">
        <v>280</v>
      </c>
      <c r="B91" s="71"/>
      <c r="C91" s="95"/>
      <c r="D91" s="20" t="s">
        <v>281</v>
      </c>
      <c r="E91" s="63">
        <v>0.87</v>
      </c>
      <c r="F91" s="10">
        <v>2.61</v>
      </c>
      <c r="G91" s="52">
        <f t="shared" si="4"/>
        <v>66.666666666666657</v>
      </c>
      <c r="J91" s="1" t="s">
        <v>292</v>
      </c>
    </row>
    <row r="92" spans="1:10" x14ac:dyDescent="0.2">
      <c r="A92" s="70" t="s">
        <v>282</v>
      </c>
      <c r="B92" s="71"/>
      <c r="C92" s="95"/>
      <c r="D92" s="20" t="s">
        <v>283</v>
      </c>
      <c r="E92" s="63">
        <v>0.86</v>
      </c>
      <c r="F92" s="10">
        <v>2.56</v>
      </c>
      <c r="G92" s="52">
        <f t="shared" si="4"/>
        <v>66.40625</v>
      </c>
      <c r="J92" s="1" t="s">
        <v>292</v>
      </c>
    </row>
    <row r="93" spans="1:10" x14ac:dyDescent="0.2">
      <c r="A93" s="70" t="s">
        <v>284</v>
      </c>
      <c r="B93" s="71"/>
      <c r="C93" s="95"/>
      <c r="D93" s="20" t="s">
        <v>285</v>
      </c>
      <c r="E93" s="63">
        <v>0.94</v>
      </c>
      <c r="F93" s="10">
        <v>2.4900000000000002</v>
      </c>
      <c r="G93" s="52">
        <f t="shared" si="4"/>
        <v>62.24899598393575</v>
      </c>
      <c r="J93" s="1" t="s">
        <v>292</v>
      </c>
    </row>
    <row r="94" spans="1:10" x14ac:dyDescent="0.2">
      <c r="A94" s="70" t="s">
        <v>286</v>
      </c>
      <c r="B94" s="71"/>
      <c r="C94" s="95"/>
      <c r="D94" s="20" t="s">
        <v>287</v>
      </c>
      <c r="E94" s="63">
        <v>0.88</v>
      </c>
      <c r="F94" s="10">
        <v>2.62</v>
      </c>
      <c r="G94" s="52">
        <f t="shared" si="4"/>
        <v>66.412213740458014</v>
      </c>
      <c r="J94" s="1" t="s">
        <v>292</v>
      </c>
    </row>
    <row r="95" spans="1:10" x14ac:dyDescent="0.2">
      <c r="A95" s="70" t="s">
        <v>288</v>
      </c>
      <c r="B95" s="71"/>
      <c r="C95" s="95"/>
      <c r="D95" s="20" t="s">
        <v>289</v>
      </c>
      <c r="E95" s="63">
        <v>0.91</v>
      </c>
      <c r="F95" s="10">
        <v>2.48</v>
      </c>
      <c r="G95" s="52">
        <f t="shared" si="4"/>
        <v>63.306451612903224</v>
      </c>
      <c r="J95" s="1" t="s">
        <v>292</v>
      </c>
    </row>
    <row r="96" spans="1:10" x14ac:dyDescent="0.2">
      <c r="A96" s="68" t="s">
        <v>290</v>
      </c>
      <c r="B96" s="69"/>
      <c r="C96" s="96"/>
      <c r="D96" s="24" t="s">
        <v>291</v>
      </c>
      <c r="E96" s="64">
        <v>0.81</v>
      </c>
      <c r="F96" s="28">
        <v>2.59</v>
      </c>
      <c r="G96" s="55">
        <f t="shared" si="4"/>
        <v>68.725868725868722</v>
      </c>
      <c r="J96" s="1" t="s">
        <v>292</v>
      </c>
    </row>
    <row r="97" spans="1:10" x14ac:dyDescent="0.2">
      <c r="A97" s="79" t="s">
        <v>294</v>
      </c>
      <c r="B97" s="80"/>
      <c r="C97" s="80"/>
      <c r="D97" s="19" t="s">
        <v>295</v>
      </c>
      <c r="E97" s="65">
        <v>0.68</v>
      </c>
      <c r="F97" s="27">
        <v>2.4500000000000002</v>
      </c>
      <c r="G97" s="49">
        <f>+(1-(E97/F97))*100</f>
        <v>72.244897959183675</v>
      </c>
      <c r="J97" s="1" t="s">
        <v>310</v>
      </c>
    </row>
    <row r="98" spans="1:10" x14ac:dyDescent="0.2">
      <c r="A98" s="70" t="s">
        <v>296</v>
      </c>
      <c r="B98" s="71"/>
      <c r="C98" s="71"/>
      <c r="D98" s="20" t="s">
        <v>297</v>
      </c>
      <c r="E98" s="66">
        <v>0.76</v>
      </c>
      <c r="F98" s="10">
        <v>2.4700000000000002</v>
      </c>
      <c r="G98" s="52">
        <f t="shared" ref="G98:G119" si="5">+(1-(E98/F98))*100</f>
        <v>69.230769230769226</v>
      </c>
      <c r="J98" s="1" t="s">
        <v>310</v>
      </c>
    </row>
    <row r="99" spans="1:10" x14ac:dyDescent="0.2">
      <c r="A99" s="70" t="s">
        <v>298</v>
      </c>
      <c r="B99" s="71"/>
      <c r="C99" s="71"/>
      <c r="D99" s="20" t="s">
        <v>299</v>
      </c>
      <c r="E99" s="66">
        <v>0.83</v>
      </c>
      <c r="F99" s="10">
        <v>2.5299999999999998</v>
      </c>
      <c r="G99" s="52">
        <f t="shared" si="5"/>
        <v>67.193675889328063</v>
      </c>
      <c r="J99" s="1" t="s">
        <v>310</v>
      </c>
    </row>
    <row r="100" spans="1:10" x14ac:dyDescent="0.2">
      <c r="A100" s="70" t="s">
        <v>300</v>
      </c>
      <c r="B100" s="71"/>
      <c r="C100" s="71"/>
      <c r="D100" s="20" t="s">
        <v>301</v>
      </c>
      <c r="E100" s="66">
        <v>0.62</v>
      </c>
      <c r="F100" s="10">
        <v>2.36</v>
      </c>
      <c r="G100" s="52">
        <f t="shared" si="5"/>
        <v>73.728813559322035</v>
      </c>
      <c r="J100" s="1" t="s">
        <v>310</v>
      </c>
    </row>
    <row r="101" spans="1:10" x14ac:dyDescent="0.2">
      <c r="A101" s="70" t="s">
        <v>302</v>
      </c>
      <c r="B101" s="71"/>
      <c r="C101" s="71"/>
      <c r="D101" s="20" t="s">
        <v>303</v>
      </c>
      <c r="E101" s="66">
        <v>0.8</v>
      </c>
      <c r="F101" s="10">
        <v>2.4500000000000002</v>
      </c>
      <c r="G101" s="52">
        <f t="shared" si="5"/>
        <v>67.34693877551021</v>
      </c>
      <c r="J101" s="1" t="s">
        <v>310</v>
      </c>
    </row>
    <row r="102" spans="1:10" x14ac:dyDescent="0.2">
      <c r="A102" s="70" t="s">
        <v>304</v>
      </c>
      <c r="B102" s="71"/>
      <c r="C102" s="71"/>
      <c r="D102" s="20" t="s">
        <v>305</v>
      </c>
      <c r="E102" s="66">
        <v>0.66</v>
      </c>
      <c r="F102" s="10">
        <v>2.4500000000000002</v>
      </c>
      <c r="G102" s="52">
        <f t="shared" si="5"/>
        <v>73.061224489795919</v>
      </c>
      <c r="J102" s="1" t="s">
        <v>310</v>
      </c>
    </row>
    <row r="103" spans="1:10" x14ac:dyDescent="0.2">
      <c r="A103" s="70" t="s">
        <v>306</v>
      </c>
      <c r="B103" s="71"/>
      <c r="C103" s="71"/>
      <c r="D103" s="20" t="s">
        <v>307</v>
      </c>
      <c r="E103" s="66">
        <v>0.79</v>
      </c>
      <c r="F103" s="10">
        <v>2.5099999999999998</v>
      </c>
      <c r="G103" s="52">
        <f t="shared" si="5"/>
        <v>68.525896414342625</v>
      </c>
      <c r="J103" s="1" t="s">
        <v>310</v>
      </c>
    </row>
    <row r="104" spans="1:10" x14ac:dyDescent="0.2">
      <c r="A104" s="68" t="s">
        <v>308</v>
      </c>
      <c r="B104" s="69"/>
      <c r="C104" s="69"/>
      <c r="D104" s="24" t="s">
        <v>309</v>
      </c>
      <c r="E104" s="67">
        <v>0.71</v>
      </c>
      <c r="F104" s="28">
        <v>2.5299999999999998</v>
      </c>
      <c r="G104" s="55">
        <f t="shared" si="5"/>
        <v>71.93675889328064</v>
      </c>
      <c r="J104" s="1" t="s">
        <v>310</v>
      </c>
    </row>
    <row r="105" spans="1:10" x14ac:dyDescent="0.2">
      <c r="A105" s="70" t="s">
        <v>311</v>
      </c>
      <c r="B105" s="71"/>
      <c r="C105" s="95"/>
      <c r="D105" s="20" t="s">
        <v>312</v>
      </c>
      <c r="E105" s="51">
        <v>0.79</v>
      </c>
      <c r="F105" s="51">
        <v>2.4500000000000002</v>
      </c>
      <c r="G105" s="51">
        <f t="shared" si="5"/>
        <v>67.755102040816325</v>
      </c>
      <c r="J105" s="1" t="s">
        <v>327</v>
      </c>
    </row>
    <row r="106" spans="1:10" x14ac:dyDescent="0.2">
      <c r="A106" s="70" t="s">
        <v>313</v>
      </c>
      <c r="B106" s="71"/>
      <c r="C106" s="95"/>
      <c r="D106" s="20" t="s">
        <v>314</v>
      </c>
      <c r="E106" s="51">
        <v>0.74</v>
      </c>
      <c r="F106" s="51">
        <v>2.4</v>
      </c>
      <c r="G106" s="51">
        <f t="shared" si="5"/>
        <v>69.166666666666671</v>
      </c>
      <c r="J106" s="1" t="s">
        <v>327</v>
      </c>
    </row>
    <row r="107" spans="1:10" x14ac:dyDescent="0.2">
      <c r="A107" s="70" t="s">
        <v>315</v>
      </c>
      <c r="B107" s="71"/>
      <c r="C107" s="95"/>
      <c r="D107" s="20" t="s">
        <v>316</v>
      </c>
      <c r="E107" s="51">
        <v>0.91</v>
      </c>
      <c r="F107" s="51">
        <v>2.4900000000000002</v>
      </c>
      <c r="G107" s="51">
        <f t="shared" si="5"/>
        <v>63.453815261044177</v>
      </c>
      <c r="J107" s="1" t="s">
        <v>327</v>
      </c>
    </row>
    <row r="108" spans="1:10" x14ac:dyDescent="0.2">
      <c r="A108" s="70" t="s">
        <v>317</v>
      </c>
      <c r="B108" s="71"/>
      <c r="C108" s="95"/>
      <c r="D108" s="20" t="s">
        <v>318</v>
      </c>
      <c r="E108" s="51">
        <v>0.82</v>
      </c>
      <c r="F108" s="51">
        <v>2.4900000000000002</v>
      </c>
      <c r="G108" s="51">
        <f t="shared" si="5"/>
        <v>67.068273092369495</v>
      </c>
      <c r="J108" s="1" t="s">
        <v>327</v>
      </c>
    </row>
    <row r="109" spans="1:10" x14ac:dyDescent="0.2">
      <c r="A109" s="70" t="s">
        <v>319</v>
      </c>
      <c r="B109" s="71"/>
      <c r="C109" s="95"/>
      <c r="D109" s="20" t="s">
        <v>320</v>
      </c>
      <c r="E109" s="51">
        <v>0.95</v>
      </c>
      <c r="F109" s="51">
        <v>2.5099999999999998</v>
      </c>
      <c r="G109" s="51">
        <f t="shared" si="5"/>
        <v>62.151394422310759</v>
      </c>
      <c r="J109" s="1" t="s">
        <v>327</v>
      </c>
    </row>
    <row r="110" spans="1:10" x14ac:dyDescent="0.2">
      <c r="A110" s="70" t="s">
        <v>321</v>
      </c>
      <c r="B110" s="71"/>
      <c r="C110" s="95"/>
      <c r="D110" s="20" t="s">
        <v>322</v>
      </c>
      <c r="E110" s="51">
        <v>0.77</v>
      </c>
      <c r="F110" s="51">
        <v>2.35</v>
      </c>
      <c r="G110" s="51">
        <f t="shared" si="5"/>
        <v>67.2340425531915</v>
      </c>
      <c r="J110" s="1" t="s">
        <v>327</v>
      </c>
    </row>
    <row r="111" spans="1:10" x14ac:dyDescent="0.2">
      <c r="A111" s="70" t="s">
        <v>323</v>
      </c>
      <c r="B111" s="71"/>
      <c r="C111" s="95"/>
      <c r="D111" s="20" t="s">
        <v>324</v>
      </c>
      <c r="E111" s="51">
        <v>0.87</v>
      </c>
      <c r="F111" s="51">
        <v>2.5299999999999998</v>
      </c>
      <c r="G111" s="51">
        <f t="shared" si="5"/>
        <v>65.612648221343875</v>
      </c>
      <c r="J111" s="1" t="s">
        <v>327</v>
      </c>
    </row>
    <row r="112" spans="1:10" x14ac:dyDescent="0.2">
      <c r="A112" s="68" t="s">
        <v>325</v>
      </c>
      <c r="B112" s="69"/>
      <c r="C112" s="96"/>
      <c r="D112" s="24" t="s">
        <v>326</v>
      </c>
      <c r="E112" s="54">
        <v>0.85</v>
      </c>
      <c r="F112" s="54">
        <v>2.5299999999999998</v>
      </c>
      <c r="G112" s="54">
        <f t="shared" si="5"/>
        <v>66.403162055335969</v>
      </c>
      <c r="J112" s="1" t="s">
        <v>327</v>
      </c>
    </row>
    <row r="113" spans="1:10" x14ac:dyDescent="0.2">
      <c r="A113" s="70" t="s">
        <v>328</v>
      </c>
      <c r="B113" s="71"/>
      <c r="C113" s="95"/>
      <c r="D113" s="20" t="s">
        <v>329</v>
      </c>
      <c r="E113" s="63">
        <v>0.56000000000000005</v>
      </c>
      <c r="F113" s="10">
        <v>2.5099999999999998</v>
      </c>
      <c r="G113" s="52">
        <f t="shared" si="5"/>
        <v>77.689243027888438</v>
      </c>
      <c r="J113" s="1" t="s">
        <v>344</v>
      </c>
    </row>
    <row r="114" spans="1:10" x14ac:dyDescent="0.2">
      <c r="A114" s="70" t="s">
        <v>330</v>
      </c>
      <c r="B114" s="71"/>
      <c r="C114" s="95"/>
      <c r="D114" s="20" t="s">
        <v>331</v>
      </c>
      <c r="E114" s="63">
        <v>0.73</v>
      </c>
      <c r="F114" s="10">
        <v>2.4700000000000002</v>
      </c>
      <c r="G114" s="52">
        <f t="shared" si="5"/>
        <v>70.445344129554655</v>
      </c>
      <c r="J114" s="1" t="s">
        <v>344</v>
      </c>
    </row>
    <row r="115" spans="1:10" x14ac:dyDescent="0.2">
      <c r="A115" s="70" t="s">
        <v>332</v>
      </c>
      <c r="B115" s="71"/>
      <c r="C115" s="95"/>
      <c r="D115" s="20" t="s">
        <v>333</v>
      </c>
      <c r="E115" s="63">
        <v>0.71</v>
      </c>
      <c r="F115" s="10">
        <v>2.5499999999999998</v>
      </c>
      <c r="G115" s="52">
        <f t="shared" si="5"/>
        <v>72.156862745098039</v>
      </c>
      <c r="J115" s="1" t="s">
        <v>344</v>
      </c>
    </row>
    <row r="116" spans="1:10" x14ac:dyDescent="0.2">
      <c r="A116" s="70" t="s">
        <v>334</v>
      </c>
      <c r="B116" s="71"/>
      <c r="C116" s="95"/>
      <c r="D116" s="20" t="s">
        <v>335</v>
      </c>
      <c r="E116" s="63">
        <v>0.73</v>
      </c>
      <c r="F116" s="10">
        <v>2.37</v>
      </c>
      <c r="G116" s="52">
        <f t="shared" si="5"/>
        <v>69.198312236286924</v>
      </c>
      <c r="J116" s="1" t="s">
        <v>344</v>
      </c>
    </row>
    <row r="117" spans="1:10" x14ac:dyDescent="0.2">
      <c r="A117" s="70" t="s">
        <v>336</v>
      </c>
      <c r="B117" s="71"/>
      <c r="C117" s="95"/>
      <c r="D117" s="20" t="s">
        <v>337</v>
      </c>
      <c r="E117" s="63">
        <v>0.8</v>
      </c>
      <c r="F117" s="10">
        <v>2.57</v>
      </c>
      <c r="G117" s="52">
        <f t="shared" si="5"/>
        <v>68.871595330739297</v>
      </c>
      <c r="J117" s="1" t="s">
        <v>344</v>
      </c>
    </row>
    <row r="118" spans="1:10" x14ac:dyDescent="0.2">
      <c r="A118" s="70" t="s">
        <v>338</v>
      </c>
      <c r="B118" s="71"/>
      <c r="C118" s="95"/>
      <c r="D118" s="20" t="s">
        <v>339</v>
      </c>
      <c r="E118" s="63">
        <v>0.77</v>
      </c>
      <c r="F118" s="10">
        <v>2.48</v>
      </c>
      <c r="G118" s="52">
        <f t="shared" si="5"/>
        <v>68.951612903225794</v>
      </c>
      <c r="J118" s="1" t="s">
        <v>344</v>
      </c>
    </row>
    <row r="119" spans="1:10" x14ac:dyDescent="0.2">
      <c r="A119" s="70" t="s">
        <v>340</v>
      </c>
      <c r="B119" s="71"/>
      <c r="C119" s="95"/>
      <c r="D119" s="20" t="s">
        <v>341</v>
      </c>
      <c r="E119" s="63">
        <v>0.8</v>
      </c>
      <c r="F119" s="10">
        <v>2.54</v>
      </c>
      <c r="G119" s="52">
        <f t="shared" si="5"/>
        <v>68.503937007874015</v>
      </c>
      <c r="J119" s="1" t="s">
        <v>344</v>
      </c>
    </row>
    <row r="120" spans="1:10" x14ac:dyDescent="0.2">
      <c r="A120" s="68" t="s">
        <v>342</v>
      </c>
      <c r="B120" s="69"/>
      <c r="C120" s="96"/>
      <c r="D120" s="24" t="s">
        <v>343</v>
      </c>
      <c r="E120" s="54">
        <v>0.8</v>
      </c>
      <c r="F120" s="54">
        <v>2.5499999999999998</v>
      </c>
      <c r="G120" s="54">
        <f>+(1-(E120/F120))*100</f>
        <v>68.627450980392155</v>
      </c>
      <c r="J120" s="1" t="s">
        <v>344</v>
      </c>
    </row>
    <row r="121" spans="1:10" x14ac:dyDescent="0.2">
      <c r="A121" s="68"/>
      <c r="B121" s="69"/>
      <c r="C121" s="69"/>
    </row>
    <row r="122" spans="1:10" x14ac:dyDescent="0.2">
      <c r="A122" s="68"/>
      <c r="B122" s="69"/>
      <c r="C122" s="69"/>
    </row>
    <row r="123" spans="1:10" x14ac:dyDescent="0.2">
      <c r="A123" s="68"/>
      <c r="B123" s="69"/>
      <c r="C123" s="69"/>
    </row>
    <row r="124" spans="1:10" x14ac:dyDescent="0.2">
      <c r="A124" s="68"/>
      <c r="B124" s="69"/>
      <c r="C124" s="69"/>
    </row>
    <row r="125" spans="1:10" x14ac:dyDescent="0.2">
      <c r="A125" s="68"/>
      <c r="B125" s="69"/>
      <c r="C125" s="69"/>
    </row>
    <row r="126" spans="1:10" x14ac:dyDescent="0.2">
      <c r="A126" s="68"/>
      <c r="B126" s="69"/>
      <c r="C126" s="69"/>
    </row>
    <row r="127" spans="1:10" x14ac:dyDescent="0.2">
      <c r="A127" s="68"/>
      <c r="B127" s="69"/>
      <c r="C127" s="69"/>
    </row>
    <row r="128" spans="1:10" x14ac:dyDescent="0.2">
      <c r="A128" s="68"/>
      <c r="B128" s="69"/>
      <c r="C128" s="69"/>
    </row>
    <row r="129" spans="1:3" x14ac:dyDescent="0.2">
      <c r="A129" s="68"/>
      <c r="B129" s="69"/>
      <c r="C129" s="69"/>
    </row>
    <row r="130" spans="1:3" x14ac:dyDescent="0.2">
      <c r="A130" s="68"/>
      <c r="B130" s="69"/>
      <c r="C130" s="69"/>
    </row>
    <row r="131" spans="1:3" x14ac:dyDescent="0.2">
      <c r="A131" s="68"/>
      <c r="B131" s="69"/>
      <c r="C131" s="69"/>
    </row>
    <row r="132" spans="1:3" x14ac:dyDescent="0.2">
      <c r="A132" s="68"/>
      <c r="B132" s="69"/>
      <c r="C132" s="69"/>
    </row>
    <row r="133" spans="1:3" x14ac:dyDescent="0.2">
      <c r="A133" s="68"/>
      <c r="B133" s="69"/>
      <c r="C133" s="69"/>
    </row>
    <row r="134" spans="1:3" x14ac:dyDescent="0.2">
      <c r="A134" s="68"/>
      <c r="B134" s="69"/>
      <c r="C134" s="69"/>
    </row>
    <row r="135" spans="1:3" x14ac:dyDescent="0.2">
      <c r="A135" s="68"/>
      <c r="B135" s="69"/>
      <c r="C135" s="69"/>
    </row>
    <row r="136" spans="1:3" x14ac:dyDescent="0.2">
      <c r="A136" s="68"/>
      <c r="B136" s="69"/>
      <c r="C136" s="69"/>
    </row>
    <row r="137" spans="1:3" x14ac:dyDescent="0.2">
      <c r="A137" s="68"/>
      <c r="B137" s="69"/>
      <c r="C137" s="69"/>
    </row>
    <row r="138" spans="1:3" x14ac:dyDescent="0.2">
      <c r="A138" s="68"/>
      <c r="B138" s="69"/>
      <c r="C138" s="69"/>
    </row>
    <row r="139" spans="1:3" x14ac:dyDescent="0.2">
      <c r="A139" s="68"/>
      <c r="B139" s="69"/>
      <c r="C139" s="69"/>
    </row>
    <row r="140" spans="1:3" x14ac:dyDescent="0.2">
      <c r="A140" s="68"/>
      <c r="B140" s="69"/>
      <c r="C140" s="69"/>
    </row>
    <row r="141" spans="1:3" x14ac:dyDescent="0.2">
      <c r="A141" s="68"/>
      <c r="B141" s="69"/>
      <c r="C141" s="69"/>
    </row>
    <row r="142" spans="1:3" x14ac:dyDescent="0.2">
      <c r="A142" s="68"/>
      <c r="B142" s="69"/>
      <c r="C142" s="69"/>
    </row>
    <row r="143" spans="1:3" x14ac:dyDescent="0.2">
      <c r="A143" s="68"/>
      <c r="B143" s="69"/>
      <c r="C143" s="69"/>
    </row>
    <row r="144" spans="1:3" x14ac:dyDescent="0.2">
      <c r="A144" s="68"/>
      <c r="B144" s="69"/>
      <c r="C144" s="69"/>
    </row>
    <row r="145" spans="1:3" x14ac:dyDescent="0.2">
      <c r="A145" s="68"/>
      <c r="B145" s="69"/>
      <c r="C145" s="69"/>
    </row>
    <row r="146" spans="1:3" x14ac:dyDescent="0.2">
      <c r="A146" s="68"/>
      <c r="B146" s="69"/>
      <c r="C146" s="69"/>
    </row>
    <row r="147" spans="1:3" x14ac:dyDescent="0.2">
      <c r="A147" s="68"/>
      <c r="B147" s="69"/>
      <c r="C147" s="69"/>
    </row>
    <row r="148" spans="1:3" x14ac:dyDescent="0.2">
      <c r="A148" s="68"/>
      <c r="B148" s="69"/>
      <c r="C148" s="69"/>
    </row>
    <row r="149" spans="1:3" x14ac:dyDescent="0.2">
      <c r="A149" s="68"/>
      <c r="B149" s="69"/>
      <c r="C149" s="69"/>
    </row>
    <row r="150" spans="1:3" x14ac:dyDescent="0.2">
      <c r="A150" s="68"/>
      <c r="B150" s="69"/>
      <c r="C150" s="69"/>
    </row>
    <row r="151" spans="1:3" x14ac:dyDescent="0.2">
      <c r="A151" s="68"/>
      <c r="B151" s="69"/>
      <c r="C151" s="69"/>
    </row>
    <row r="152" spans="1:3" x14ac:dyDescent="0.2">
      <c r="A152" s="68"/>
      <c r="B152" s="69"/>
      <c r="C152" s="69"/>
    </row>
    <row r="153" spans="1:3" x14ac:dyDescent="0.2">
      <c r="A153" s="68"/>
      <c r="B153" s="69"/>
      <c r="C153" s="69"/>
    </row>
    <row r="154" spans="1:3" x14ac:dyDescent="0.2">
      <c r="A154" s="68"/>
      <c r="B154" s="69"/>
      <c r="C154" s="69"/>
    </row>
    <row r="155" spans="1:3" x14ac:dyDescent="0.2">
      <c r="A155" s="68"/>
      <c r="B155" s="69"/>
      <c r="C155" s="69"/>
    </row>
    <row r="156" spans="1:3" x14ac:dyDescent="0.2">
      <c r="A156" s="68"/>
      <c r="B156" s="69"/>
      <c r="C156" s="69"/>
    </row>
    <row r="157" spans="1:3" x14ac:dyDescent="0.2">
      <c r="A157" s="68"/>
      <c r="B157" s="69"/>
      <c r="C157" s="69"/>
    </row>
    <row r="158" spans="1:3" x14ac:dyDescent="0.2">
      <c r="A158" s="68"/>
      <c r="B158" s="69"/>
      <c r="C158" s="69"/>
    </row>
    <row r="159" spans="1:3" x14ac:dyDescent="0.2">
      <c r="A159" s="68"/>
      <c r="B159" s="69"/>
      <c r="C159" s="69"/>
    </row>
    <row r="160" spans="1:3" x14ac:dyDescent="0.2">
      <c r="A160" s="68"/>
      <c r="B160" s="69"/>
      <c r="C160" s="69"/>
    </row>
    <row r="161" spans="1:3" x14ac:dyDescent="0.2">
      <c r="A161" s="68"/>
      <c r="B161" s="69"/>
      <c r="C161" s="69"/>
    </row>
    <row r="162" spans="1:3" x14ac:dyDescent="0.2">
      <c r="A162" s="68"/>
      <c r="B162" s="69"/>
      <c r="C162" s="69"/>
    </row>
    <row r="163" spans="1:3" x14ac:dyDescent="0.2">
      <c r="A163" s="68"/>
      <c r="B163" s="69"/>
      <c r="C163" s="69"/>
    </row>
    <row r="164" spans="1:3" x14ac:dyDescent="0.2">
      <c r="A164" s="68"/>
      <c r="B164" s="69"/>
      <c r="C164" s="69"/>
    </row>
    <row r="165" spans="1:3" x14ac:dyDescent="0.2">
      <c r="A165" s="68"/>
      <c r="B165" s="69"/>
      <c r="C165" s="69"/>
    </row>
    <row r="166" spans="1:3" x14ac:dyDescent="0.2">
      <c r="A166" s="68"/>
      <c r="B166" s="69"/>
      <c r="C166" s="69"/>
    </row>
    <row r="167" spans="1:3" x14ac:dyDescent="0.2">
      <c r="A167" s="68"/>
      <c r="B167" s="69"/>
      <c r="C167" s="69"/>
    </row>
    <row r="168" spans="1:3" x14ac:dyDescent="0.2">
      <c r="A168" s="68"/>
      <c r="B168" s="69"/>
      <c r="C168" s="69"/>
    </row>
    <row r="169" spans="1:3" x14ac:dyDescent="0.2">
      <c r="A169" s="68"/>
      <c r="B169" s="69"/>
      <c r="C169" s="69"/>
    </row>
    <row r="170" spans="1:3" x14ac:dyDescent="0.2">
      <c r="A170" s="68"/>
      <c r="B170" s="69"/>
      <c r="C170" s="69"/>
    </row>
    <row r="171" spans="1:3" x14ac:dyDescent="0.2">
      <c r="A171" s="68"/>
      <c r="B171" s="69"/>
      <c r="C171" s="69"/>
    </row>
    <row r="172" spans="1:3" x14ac:dyDescent="0.2">
      <c r="A172" s="68"/>
      <c r="B172" s="69"/>
      <c r="C172" s="69"/>
    </row>
    <row r="173" spans="1:3" x14ac:dyDescent="0.2">
      <c r="A173" s="68"/>
      <c r="B173" s="69"/>
      <c r="C173" s="69"/>
    </row>
    <row r="174" spans="1:3" x14ac:dyDescent="0.2">
      <c r="A174" s="68"/>
      <c r="B174" s="69"/>
      <c r="C174" s="69"/>
    </row>
    <row r="175" spans="1:3" x14ac:dyDescent="0.2">
      <c r="A175" s="68"/>
      <c r="B175" s="69"/>
      <c r="C175" s="69"/>
    </row>
    <row r="176" spans="1:3" x14ac:dyDescent="0.2">
      <c r="A176" s="68"/>
      <c r="B176" s="69"/>
      <c r="C176" s="69"/>
    </row>
    <row r="177" spans="1:3" x14ac:dyDescent="0.2">
      <c r="A177" s="68"/>
      <c r="B177" s="69"/>
      <c r="C177" s="69"/>
    </row>
    <row r="178" spans="1:3" x14ac:dyDescent="0.2">
      <c r="A178" s="68"/>
      <c r="B178" s="69"/>
      <c r="C178" s="69"/>
    </row>
    <row r="179" spans="1:3" x14ac:dyDescent="0.2">
      <c r="A179" s="68"/>
      <c r="B179" s="69"/>
      <c r="C179" s="69"/>
    </row>
    <row r="180" spans="1:3" x14ac:dyDescent="0.2">
      <c r="A180" s="68"/>
      <c r="B180" s="69"/>
      <c r="C180" s="69"/>
    </row>
    <row r="181" spans="1:3" x14ac:dyDescent="0.2">
      <c r="A181" s="68"/>
      <c r="B181" s="69"/>
      <c r="C181" s="69"/>
    </row>
    <row r="182" spans="1:3" x14ac:dyDescent="0.2">
      <c r="A182" s="68"/>
      <c r="B182" s="69"/>
      <c r="C182" s="69"/>
    </row>
    <row r="183" spans="1:3" x14ac:dyDescent="0.2">
      <c r="A183" s="68"/>
      <c r="B183" s="69"/>
      <c r="C183" s="69"/>
    </row>
    <row r="184" spans="1:3" x14ac:dyDescent="0.2">
      <c r="A184" s="68"/>
      <c r="B184" s="69"/>
      <c r="C184" s="69"/>
    </row>
    <row r="185" spans="1:3" x14ac:dyDescent="0.2">
      <c r="A185" s="68"/>
      <c r="B185" s="69"/>
      <c r="C185" s="69"/>
    </row>
    <row r="186" spans="1:3" x14ac:dyDescent="0.2">
      <c r="A186" s="68"/>
      <c r="B186" s="69"/>
      <c r="C186" s="69"/>
    </row>
    <row r="187" spans="1:3" x14ac:dyDescent="0.2">
      <c r="A187" s="68"/>
      <c r="B187" s="69"/>
      <c r="C187" s="69"/>
    </row>
    <row r="188" spans="1:3" x14ac:dyDescent="0.2">
      <c r="A188" s="68"/>
      <c r="B188" s="69"/>
      <c r="C188" s="69"/>
    </row>
    <row r="189" spans="1:3" x14ac:dyDescent="0.2">
      <c r="A189" s="68"/>
      <c r="B189" s="69"/>
      <c r="C189" s="69"/>
    </row>
    <row r="190" spans="1:3" x14ac:dyDescent="0.2">
      <c r="A190" s="68"/>
      <c r="B190" s="69"/>
      <c r="C190" s="69"/>
    </row>
    <row r="191" spans="1:3" x14ac:dyDescent="0.2">
      <c r="A191" s="68"/>
      <c r="B191" s="69"/>
      <c r="C191" s="69"/>
    </row>
    <row r="192" spans="1:3" x14ac:dyDescent="0.2">
      <c r="A192" s="68"/>
      <c r="B192" s="69"/>
      <c r="C192" s="69"/>
    </row>
    <row r="193" spans="1:3" x14ac:dyDescent="0.2">
      <c r="A193" s="68"/>
      <c r="B193" s="69"/>
      <c r="C193" s="69"/>
    </row>
    <row r="194" spans="1:3" x14ac:dyDescent="0.2">
      <c r="A194" s="68"/>
      <c r="B194" s="69"/>
      <c r="C194" s="69"/>
    </row>
    <row r="195" spans="1:3" x14ac:dyDescent="0.2">
      <c r="A195" s="68"/>
      <c r="B195" s="69"/>
      <c r="C195" s="69"/>
    </row>
    <row r="196" spans="1:3" x14ac:dyDescent="0.2">
      <c r="A196" s="68"/>
      <c r="B196" s="69"/>
      <c r="C196" s="69"/>
    </row>
    <row r="197" spans="1:3" x14ac:dyDescent="0.2">
      <c r="A197" s="68"/>
      <c r="B197" s="69"/>
      <c r="C197" s="69"/>
    </row>
    <row r="198" spans="1:3" x14ac:dyDescent="0.2">
      <c r="A198" s="68"/>
      <c r="B198" s="69"/>
      <c r="C198" s="69"/>
    </row>
    <row r="199" spans="1:3" x14ac:dyDescent="0.2">
      <c r="A199" s="68"/>
      <c r="B199" s="69"/>
      <c r="C199" s="69"/>
    </row>
    <row r="200" spans="1:3" x14ac:dyDescent="0.2">
      <c r="A200" s="68"/>
      <c r="B200" s="69"/>
      <c r="C200" s="69"/>
    </row>
    <row r="201" spans="1:3" x14ac:dyDescent="0.2">
      <c r="A201" s="68"/>
      <c r="B201" s="69"/>
      <c r="C201" s="69"/>
    </row>
    <row r="202" spans="1:3" x14ac:dyDescent="0.2">
      <c r="A202" s="68"/>
      <c r="B202" s="69"/>
      <c r="C202" s="69"/>
    </row>
    <row r="203" spans="1:3" x14ac:dyDescent="0.2">
      <c r="A203" s="68"/>
      <c r="B203" s="69"/>
      <c r="C203" s="69"/>
    </row>
    <row r="204" spans="1:3" x14ac:dyDescent="0.2">
      <c r="A204" s="68"/>
      <c r="B204" s="69"/>
      <c r="C204" s="69"/>
    </row>
    <row r="205" spans="1:3" x14ac:dyDescent="0.2">
      <c r="A205" s="68"/>
      <c r="B205" s="69"/>
      <c r="C205" s="69"/>
    </row>
    <row r="206" spans="1:3" x14ac:dyDescent="0.2">
      <c r="A206" s="68"/>
      <c r="B206" s="69"/>
      <c r="C206" s="69"/>
    </row>
    <row r="207" spans="1:3" x14ac:dyDescent="0.2">
      <c r="A207" s="68"/>
      <c r="B207" s="69"/>
      <c r="C207" s="69"/>
    </row>
    <row r="208" spans="1:3" x14ac:dyDescent="0.2">
      <c r="A208" s="68"/>
      <c r="B208" s="69"/>
      <c r="C208" s="69"/>
    </row>
    <row r="209" spans="1:3" x14ac:dyDescent="0.2">
      <c r="A209" s="68"/>
      <c r="B209" s="69"/>
      <c r="C209" s="69"/>
    </row>
    <row r="210" spans="1:3" x14ac:dyDescent="0.2">
      <c r="A210" s="68"/>
      <c r="B210" s="69"/>
      <c r="C210" s="69"/>
    </row>
    <row r="211" spans="1:3" x14ac:dyDescent="0.2">
      <c r="A211" s="68"/>
      <c r="B211" s="69"/>
      <c r="C211" s="69"/>
    </row>
    <row r="212" spans="1:3" x14ac:dyDescent="0.2">
      <c r="A212" s="68"/>
      <c r="B212" s="69"/>
      <c r="C212" s="69"/>
    </row>
    <row r="213" spans="1:3" x14ac:dyDescent="0.2">
      <c r="A213" s="68"/>
      <c r="B213" s="69"/>
      <c r="C213" s="69"/>
    </row>
    <row r="214" spans="1:3" x14ac:dyDescent="0.2">
      <c r="A214" s="68"/>
      <c r="B214" s="69"/>
      <c r="C214" s="69"/>
    </row>
    <row r="215" spans="1:3" x14ac:dyDescent="0.2">
      <c r="A215" s="68"/>
      <c r="B215" s="69"/>
      <c r="C215" s="69"/>
    </row>
    <row r="216" spans="1:3" x14ac:dyDescent="0.2">
      <c r="A216" s="68"/>
      <c r="B216" s="69"/>
      <c r="C216" s="69"/>
    </row>
    <row r="217" spans="1:3" x14ac:dyDescent="0.2">
      <c r="A217" s="68"/>
      <c r="B217" s="69"/>
      <c r="C217" s="69"/>
    </row>
    <row r="218" spans="1:3" x14ac:dyDescent="0.2">
      <c r="A218" s="68"/>
      <c r="B218" s="69"/>
      <c r="C218" s="69"/>
    </row>
    <row r="219" spans="1:3" x14ac:dyDescent="0.2">
      <c r="A219" s="68"/>
      <c r="B219" s="69"/>
      <c r="C219" s="69"/>
    </row>
    <row r="220" spans="1:3" x14ac:dyDescent="0.2">
      <c r="A220" s="68"/>
      <c r="B220" s="69"/>
      <c r="C220" s="69"/>
    </row>
    <row r="221" spans="1:3" x14ac:dyDescent="0.2">
      <c r="A221" s="68"/>
      <c r="B221" s="69"/>
      <c r="C221" s="69"/>
    </row>
    <row r="222" spans="1:3" x14ac:dyDescent="0.2">
      <c r="A222" s="68"/>
      <c r="B222" s="69"/>
      <c r="C222" s="69"/>
    </row>
    <row r="223" spans="1:3" x14ac:dyDescent="0.2">
      <c r="A223" s="68"/>
      <c r="B223" s="69"/>
      <c r="C223" s="69"/>
    </row>
    <row r="224" spans="1:3" x14ac:dyDescent="0.2">
      <c r="A224" s="68"/>
      <c r="B224" s="69"/>
      <c r="C224" s="69"/>
    </row>
    <row r="225" spans="1:3" x14ac:dyDescent="0.2">
      <c r="A225" s="68"/>
      <c r="B225" s="69"/>
      <c r="C225" s="69"/>
    </row>
    <row r="226" spans="1:3" x14ac:dyDescent="0.2">
      <c r="A226" s="68"/>
      <c r="B226" s="69"/>
      <c r="C226" s="69"/>
    </row>
    <row r="227" spans="1:3" x14ac:dyDescent="0.2">
      <c r="A227" s="68"/>
      <c r="B227" s="69"/>
      <c r="C227" s="69"/>
    </row>
    <row r="228" spans="1:3" x14ac:dyDescent="0.2">
      <c r="A228" s="68"/>
      <c r="B228" s="69"/>
      <c r="C228" s="69"/>
    </row>
    <row r="229" spans="1:3" x14ac:dyDescent="0.2">
      <c r="A229" s="68"/>
      <c r="B229" s="69"/>
      <c r="C229" s="69"/>
    </row>
    <row r="230" spans="1:3" x14ac:dyDescent="0.2">
      <c r="A230" s="68"/>
      <c r="B230" s="69"/>
      <c r="C230" s="69"/>
    </row>
    <row r="231" spans="1:3" x14ac:dyDescent="0.2">
      <c r="A231" s="68"/>
      <c r="B231" s="69"/>
      <c r="C231" s="69"/>
    </row>
    <row r="232" spans="1:3" x14ac:dyDescent="0.2">
      <c r="A232" s="68"/>
      <c r="B232" s="69"/>
      <c r="C232" s="69"/>
    </row>
    <row r="233" spans="1:3" x14ac:dyDescent="0.2">
      <c r="A233" s="68"/>
      <c r="B233" s="69"/>
      <c r="C233" s="69"/>
    </row>
    <row r="234" spans="1:3" x14ac:dyDescent="0.2">
      <c r="A234" s="68"/>
      <c r="B234" s="69"/>
      <c r="C234" s="69"/>
    </row>
    <row r="235" spans="1:3" x14ac:dyDescent="0.2">
      <c r="A235" s="68"/>
      <c r="B235" s="69"/>
      <c r="C235" s="69"/>
    </row>
    <row r="236" spans="1:3" x14ac:dyDescent="0.2">
      <c r="A236" s="68"/>
      <c r="B236" s="69"/>
      <c r="C236" s="69"/>
    </row>
    <row r="237" spans="1:3" x14ac:dyDescent="0.2">
      <c r="A237" s="68"/>
      <c r="B237" s="69"/>
      <c r="C237" s="69"/>
    </row>
    <row r="238" spans="1:3" x14ac:dyDescent="0.2">
      <c r="A238" s="68"/>
      <c r="B238" s="69"/>
      <c r="C238" s="69"/>
    </row>
    <row r="239" spans="1:3" x14ac:dyDescent="0.2">
      <c r="A239" s="68"/>
      <c r="B239" s="69"/>
      <c r="C239" s="69"/>
    </row>
    <row r="240" spans="1:3" x14ac:dyDescent="0.2">
      <c r="A240" s="68"/>
      <c r="B240" s="69"/>
      <c r="C240" s="69"/>
    </row>
    <row r="241" spans="1:3" x14ac:dyDescent="0.2">
      <c r="A241" s="68"/>
      <c r="B241" s="69"/>
      <c r="C241" s="69"/>
    </row>
    <row r="242" spans="1:3" x14ac:dyDescent="0.2">
      <c r="A242" s="68"/>
      <c r="B242" s="69"/>
      <c r="C242" s="69"/>
    </row>
    <row r="243" spans="1:3" x14ac:dyDescent="0.2">
      <c r="A243" s="68"/>
      <c r="B243" s="69"/>
      <c r="C243" s="69"/>
    </row>
    <row r="244" spans="1:3" x14ac:dyDescent="0.2">
      <c r="A244" s="68"/>
      <c r="B244" s="69"/>
      <c r="C244" s="69"/>
    </row>
    <row r="245" spans="1:3" x14ac:dyDescent="0.2">
      <c r="A245" s="68"/>
      <c r="B245" s="69"/>
      <c r="C245" s="69"/>
    </row>
    <row r="246" spans="1:3" x14ac:dyDescent="0.2">
      <c r="A246" s="68"/>
      <c r="B246" s="69"/>
      <c r="C246" s="69"/>
    </row>
    <row r="247" spans="1:3" x14ac:dyDescent="0.2">
      <c r="A247" s="68"/>
      <c r="B247" s="69"/>
      <c r="C247" s="69"/>
    </row>
    <row r="248" spans="1:3" x14ac:dyDescent="0.2">
      <c r="A248" s="68"/>
      <c r="B248" s="69"/>
      <c r="C248" s="69"/>
    </row>
    <row r="249" spans="1:3" x14ac:dyDescent="0.2">
      <c r="A249" s="68"/>
      <c r="B249" s="69"/>
      <c r="C249" s="69"/>
    </row>
    <row r="250" spans="1:3" x14ac:dyDescent="0.2">
      <c r="A250" s="68"/>
      <c r="B250" s="69"/>
      <c r="C250" s="69"/>
    </row>
    <row r="251" spans="1:3" x14ac:dyDescent="0.2">
      <c r="A251" s="68"/>
      <c r="B251" s="69"/>
      <c r="C251" s="69"/>
    </row>
    <row r="252" spans="1:3" x14ac:dyDescent="0.2">
      <c r="A252" s="68"/>
      <c r="B252" s="69"/>
      <c r="C252" s="69"/>
    </row>
    <row r="253" spans="1:3" x14ac:dyDescent="0.2">
      <c r="A253" s="68"/>
      <c r="B253" s="69"/>
      <c r="C253" s="69"/>
    </row>
    <row r="254" spans="1:3" x14ac:dyDescent="0.2">
      <c r="A254" s="68"/>
      <c r="B254" s="69"/>
      <c r="C254" s="69"/>
    </row>
    <row r="255" spans="1:3" x14ac:dyDescent="0.2">
      <c r="A255" s="68"/>
      <c r="B255" s="69"/>
      <c r="C255" s="69"/>
    </row>
    <row r="256" spans="1:3" x14ac:dyDescent="0.2">
      <c r="A256" s="68"/>
      <c r="B256" s="69"/>
      <c r="C256" s="69"/>
    </row>
    <row r="257" spans="1:3" x14ac:dyDescent="0.2">
      <c r="A257" s="68"/>
      <c r="B257" s="69"/>
      <c r="C257" s="69"/>
    </row>
    <row r="258" spans="1:3" x14ac:dyDescent="0.2">
      <c r="A258" s="68"/>
      <c r="B258" s="69"/>
      <c r="C258" s="69"/>
    </row>
    <row r="259" spans="1:3" x14ac:dyDescent="0.2">
      <c r="A259" s="68"/>
      <c r="B259" s="69"/>
      <c r="C259" s="69"/>
    </row>
    <row r="260" spans="1:3" x14ac:dyDescent="0.2">
      <c r="A260" s="68"/>
      <c r="B260" s="69"/>
      <c r="C260" s="69"/>
    </row>
    <row r="261" spans="1:3" x14ac:dyDescent="0.2">
      <c r="A261" s="68"/>
      <c r="B261" s="69"/>
      <c r="C261" s="69"/>
    </row>
    <row r="262" spans="1:3" x14ac:dyDescent="0.2">
      <c r="A262" s="68"/>
      <c r="B262" s="69"/>
      <c r="C262" s="69"/>
    </row>
    <row r="263" spans="1:3" x14ac:dyDescent="0.2">
      <c r="A263" s="68"/>
      <c r="B263" s="69"/>
      <c r="C263" s="69"/>
    </row>
    <row r="264" spans="1:3" x14ac:dyDescent="0.2">
      <c r="A264" s="68"/>
      <c r="B264" s="69"/>
      <c r="C264" s="69"/>
    </row>
    <row r="265" spans="1:3" x14ac:dyDescent="0.2">
      <c r="A265" s="68"/>
      <c r="B265" s="69"/>
      <c r="C265" s="69"/>
    </row>
    <row r="266" spans="1:3" x14ac:dyDescent="0.2">
      <c r="A266" s="68"/>
      <c r="B266" s="69"/>
      <c r="C266" s="69"/>
    </row>
    <row r="267" spans="1:3" x14ac:dyDescent="0.2">
      <c r="A267" s="68"/>
      <c r="B267" s="69"/>
      <c r="C267" s="69"/>
    </row>
    <row r="268" spans="1:3" x14ac:dyDescent="0.2">
      <c r="A268" s="68"/>
      <c r="B268" s="69"/>
      <c r="C268" s="69"/>
    </row>
    <row r="269" spans="1:3" x14ac:dyDescent="0.2">
      <c r="A269" s="68"/>
      <c r="B269" s="69"/>
      <c r="C269" s="69"/>
    </row>
    <row r="270" spans="1:3" x14ac:dyDescent="0.2">
      <c r="A270" s="68"/>
      <c r="B270" s="69"/>
      <c r="C270" s="69"/>
    </row>
    <row r="271" spans="1:3" x14ac:dyDescent="0.2">
      <c r="A271" s="68"/>
      <c r="B271" s="69"/>
      <c r="C271" s="69"/>
    </row>
    <row r="272" spans="1:3" x14ac:dyDescent="0.2">
      <c r="A272" s="68"/>
      <c r="B272" s="69"/>
      <c r="C272" s="69"/>
    </row>
    <row r="273" spans="1:3" x14ac:dyDescent="0.2">
      <c r="A273" s="68"/>
      <c r="B273" s="69"/>
      <c r="C273" s="69"/>
    </row>
    <row r="274" spans="1:3" x14ac:dyDescent="0.2">
      <c r="A274" s="68"/>
      <c r="B274" s="69"/>
      <c r="C274" s="69"/>
    </row>
    <row r="275" spans="1:3" x14ac:dyDescent="0.2">
      <c r="A275" s="68"/>
      <c r="B275" s="69"/>
      <c r="C275" s="69"/>
    </row>
    <row r="276" spans="1:3" x14ac:dyDescent="0.2">
      <c r="A276" s="68"/>
      <c r="B276" s="69"/>
      <c r="C276" s="69"/>
    </row>
    <row r="277" spans="1:3" x14ac:dyDescent="0.2">
      <c r="A277" s="68"/>
      <c r="B277" s="69"/>
      <c r="C277" s="69"/>
    </row>
    <row r="278" spans="1:3" x14ac:dyDescent="0.2">
      <c r="A278" s="68"/>
      <c r="B278" s="69"/>
      <c r="C278" s="69"/>
    </row>
    <row r="279" spans="1:3" x14ac:dyDescent="0.2">
      <c r="A279" s="68"/>
      <c r="B279" s="69"/>
      <c r="C279" s="69"/>
    </row>
    <row r="280" spans="1:3" x14ac:dyDescent="0.2">
      <c r="A280" s="68"/>
      <c r="B280" s="69"/>
      <c r="C280" s="69"/>
    </row>
    <row r="281" spans="1:3" x14ac:dyDescent="0.2">
      <c r="A281" s="68"/>
      <c r="B281" s="69"/>
      <c r="C281" s="69"/>
    </row>
    <row r="282" spans="1:3" x14ac:dyDescent="0.2">
      <c r="A282" s="68"/>
      <c r="B282" s="69"/>
      <c r="C282" s="69"/>
    </row>
    <row r="283" spans="1:3" x14ac:dyDescent="0.2">
      <c r="A283" s="68"/>
      <c r="B283" s="69"/>
      <c r="C283" s="69"/>
    </row>
    <row r="284" spans="1:3" x14ac:dyDescent="0.2">
      <c r="A284" s="68"/>
      <c r="B284" s="69"/>
      <c r="C284" s="69"/>
    </row>
    <row r="285" spans="1:3" x14ac:dyDescent="0.2">
      <c r="A285" s="68"/>
      <c r="B285" s="69"/>
      <c r="C285" s="69"/>
    </row>
    <row r="286" spans="1:3" x14ac:dyDescent="0.2">
      <c r="A286" s="68"/>
      <c r="B286" s="69"/>
      <c r="C286" s="69"/>
    </row>
    <row r="287" spans="1:3" x14ac:dyDescent="0.2">
      <c r="A287" s="68"/>
      <c r="B287" s="69"/>
      <c r="C287" s="69"/>
    </row>
    <row r="288" spans="1:3" x14ac:dyDescent="0.2">
      <c r="A288" s="68"/>
      <c r="B288" s="69"/>
      <c r="C288" s="69"/>
    </row>
    <row r="289" spans="1:3" x14ac:dyDescent="0.2">
      <c r="A289" s="68"/>
      <c r="B289" s="69"/>
      <c r="C289" s="69"/>
    </row>
    <row r="290" spans="1:3" x14ac:dyDescent="0.2">
      <c r="A290" s="68"/>
      <c r="B290" s="69"/>
      <c r="C290" s="69"/>
    </row>
    <row r="291" spans="1:3" x14ac:dyDescent="0.2">
      <c r="A291" s="68"/>
      <c r="B291" s="69"/>
      <c r="C291" s="69"/>
    </row>
    <row r="292" spans="1:3" x14ac:dyDescent="0.2">
      <c r="A292" s="68"/>
      <c r="B292" s="69"/>
      <c r="C292" s="69"/>
    </row>
    <row r="293" spans="1:3" x14ac:dyDescent="0.2">
      <c r="A293" s="68"/>
      <c r="B293" s="69"/>
      <c r="C293" s="69"/>
    </row>
    <row r="294" spans="1:3" x14ac:dyDescent="0.2">
      <c r="A294" s="68"/>
      <c r="B294" s="69"/>
      <c r="C294" s="69"/>
    </row>
    <row r="295" spans="1:3" x14ac:dyDescent="0.2">
      <c r="A295" s="68"/>
      <c r="B295" s="69"/>
      <c r="C295" s="69"/>
    </row>
    <row r="296" spans="1:3" x14ac:dyDescent="0.2">
      <c r="A296" s="68"/>
      <c r="B296" s="69"/>
      <c r="C296" s="69"/>
    </row>
    <row r="297" spans="1:3" x14ac:dyDescent="0.2">
      <c r="A297" s="68"/>
      <c r="B297" s="69"/>
      <c r="C297" s="69"/>
    </row>
    <row r="298" spans="1:3" x14ac:dyDescent="0.2">
      <c r="A298" s="68"/>
      <c r="B298" s="69"/>
      <c r="C298" s="69"/>
    </row>
    <row r="299" spans="1:3" x14ac:dyDescent="0.2">
      <c r="A299" s="68"/>
      <c r="B299" s="69"/>
      <c r="C299" s="69"/>
    </row>
    <row r="300" spans="1:3" x14ac:dyDescent="0.2">
      <c r="A300" s="68"/>
      <c r="B300" s="69"/>
      <c r="C300" s="69"/>
    </row>
    <row r="301" spans="1:3" x14ac:dyDescent="0.2">
      <c r="A301" s="68"/>
      <c r="B301" s="69"/>
      <c r="C301" s="69"/>
    </row>
    <row r="302" spans="1:3" x14ac:dyDescent="0.2">
      <c r="A302" s="68"/>
      <c r="B302" s="69"/>
      <c r="C302" s="69"/>
    </row>
    <row r="303" spans="1:3" x14ac:dyDescent="0.2">
      <c r="A303" s="68"/>
      <c r="B303" s="69"/>
      <c r="C303" s="69"/>
    </row>
    <row r="304" spans="1:3" x14ac:dyDescent="0.2">
      <c r="A304" s="68"/>
      <c r="B304" s="69"/>
      <c r="C304" s="69"/>
    </row>
    <row r="305" spans="1:3" x14ac:dyDescent="0.2">
      <c r="A305" s="68"/>
      <c r="B305" s="69"/>
      <c r="C305" s="69"/>
    </row>
    <row r="306" spans="1:3" x14ac:dyDescent="0.2">
      <c r="A306" s="68"/>
      <c r="B306" s="69"/>
      <c r="C306" s="69"/>
    </row>
    <row r="307" spans="1:3" x14ac:dyDescent="0.2">
      <c r="A307" s="68"/>
      <c r="B307" s="69"/>
      <c r="C307" s="69"/>
    </row>
    <row r="308" spans="1:3" x14ac:dyDescent="0.2">
      <c r="A308" s="68"/>
      <c r="B308" s="69"/>
      <c r="C308" s="69"/>
    </row>
    <row r="309" spans="1:3" x14ac:dyDescent="0.2">
      <c r="A309" s="68"/>
      <c r="B309" s="69"/>
      <c r="C309" s="69"/>
    </row>
    <row r="310" spans="1:3" x14ac:dyDescent="0.2">
      <c r="A310" s="68"/>
      <c r="B310" s="69"/>
      <c r="C310" s="69"/>
    </row>
    <row r="311" spans="1:3" x14ac:dyDescent="0.2">
      <c r="A311" s="68"/>
      <c r="B311" s="69"/>
      <c r="C311" s="69"/>
    </row>
    <row r="312" spans="1:3" x14ac:dyDescent="0.2">
      <c r="A312" s="68"/>
      <c r="B312" s="69"/>
      <c r="C312" s="69"/>
    </row>
    <row r="313" spans="1:3" x14ac:dyDescent="0.2">
      <c r="A313" s="68"/>
      <c r="B313" s="69"/>
      <c r="C313" s="69"/>
    </row>
    <row r="314" spans="1:3" x14ac:dyDescent="0.2">
      <c r="A314" s="68"/>
      <c r="B314" s="69"/>
      <c r="C314" s="69"/>
    </row>
    <row r="315" spans="1:3" x14ac:dyDescent="0.2">
      <c r="A315" s="68"/>
      <c r="B315" s="69"/>
      <c r="C315" s="69"/>
    </row>
    <row r="316" spans="1:3" x14ac:dyDescent="0.2">
      <c r="A316" s="68"/>
      <c r="B316" s="69"/>
      <c r="C316" s="69"/>
    </row>
    <row r="317" spans="1:3" x14ac:dyDescent="0.2">
      <c r="A317" s="68"/>
      <c r="B317" s="69"/>
      <c r="C317" s="69"/>
    </row>
    <row r="318" spans="1:3" x14ac:dyDescent="0.2">
      <c r="A318" s="68"/>
      <c r="B318" s="69"/>
      <c r="C318" s="69"/>
    </row>
    <row r="319" spans="1:3" x14ac:dyDescent="0.2">
      <c r="A319" s="68"/>
      <c r="B319" s="69"/>
      <c r="C319" s="69"/>
    </row>
    <row r="320" spans="1:3" x14ac:dyDescent="0.2">
      <c r="A320" s="68"/>
      <c r="B320" s="69"/>
      <c r="C320" s="69"/>
    </row>
    <row r="321" spans="1:3" x14ac:dyDescent="0.2">
      <c r="A321" s="68"/>
      <c r="B321" s="69"/>
      <c r="C321" s="69"/>
    </row>
    <row r="322" spans="1:3" x14ac:dyDescent="0.2">
      <c r="A322" s="68"/>
      <c r="B322" s="69"/>
      <c r="C322" s="69"/>
    </row>
    <row r="323" spans="1:3" x14ac:dyDescent="0.2">
      <c r="A323" s="68"/>
      <c r="B323" s="69"/>
      <c r="C323" s="69"/>
    </row>
    <row r="324" spans="1:3" x14ac:dyDescent="0.2">
      <c r="A324" s="68"/>
      <c r="B324" s="69"/>
      <c r="C324" s="69"/>
    </row>
    <row r="325" spans="1:3" x14ac:dyDescent="0.2">
      <c r="A325" s="68"/>
      <c r="B325" s="69"/>
      <c r="C325" s="69"/>
    </row>
    <row r="326" spans="1:3" x14ac:dyDescent="0.2">
      <c r="A326" s="68"/>
      <c r="B326" s="69"/>
      <c r="C326" s="69"/>
    </row>
    <row r="327" spans="1:3" x14ac:dyDescent="0.2">
      <c r="A327" s="68"/>
      <c r="B327" s="69"/>
      <c r="C327" s="69"/>
    </row>
    <row r="328" spans="1:3" x14ac:dyDescent="0.2">
      <c r="A328" s="68"/>
      <c r="B328" s="69"/>
      <c r="C328" s="69"/>
    </row>
    <row r="329" spans="1:3" x14ac:dyDescent="0.2">
      <c r="A329" s="68"/>
      <c r="B329" s="69"/>
      <c r="C329" s="69"/>
    </row>
    <row r="330" spans="1:3" x14ac:dyDescent="0.2">
      <c r="A330" s="68"/>
      <c r="B330" s="69"/>
      <c r="C330" s="69"/>
    </row>
    <row r="331" spans="1:3" x14ac:dyDescent="0.2">
      <c r="A331" s="68"/>
      <c r="B331" s="69"/>
      <c r="C331" s="69"/>
    </row>
    <row r="332" spans="1:3" x14ac:dyDescent="0.2">
      <c r="A332" s="68"/>
      <c r="B332" s="69"/>
      <c r="C332" s="69"/>
    </row>
    <row r="333" spans="1:3" x14ac:dyDescent="0.2">
      <c r="A333" s="68"/>
      <c r="B333" s="69"/>
      <c r="C333" s="69"/>
    </row>
    <row r="334" spans="1:3" x14ac:dyDescent="0.2">
      <c r="A334" s="68"/>
      <c r="B334" s="69"/>
      <c r="C334" s="69"/>
    </row>
    <row r="335" spans="1:3" x14ac:dyDescent="0.2">
      <c r="A335" s="68"/>
      <c r="B335" s="69"/>
      <c r="C335" s="69"/>
    </row>
    <row r="336" spans="1:3" x14ac:dyDescent="0.2">
      <c r="A336" s="68"/>
      <c r="B336" s="69"/>
      <c r="C336" s="69"/>
    </row>
    <row r="337" spans="1:3" x14ac:dyDescent="0.2">
      <c r="A337" s="68"/>
      <c r="B337" s="69"/>
      <c r="C337" s="69"/>
    </row>
    <row r="338" spans="1:3" x14ac:dyDescent="0.2">
      <c r="A338" s="68"/>
      <c r="B338" s="69"/>
      <c r="C338" s="69"/>
    </row>
    <row r="339" spans="1:3" x14ac:dyDescent="0.2">
      <c r="A339" s="68"/>
      <c r="B339" s="69"/>
      <c r="C339" s="69"/>
    </row>
    <row r="340" spans="1:3" x14ac:dyDescent="0.2">
      <c r="A340" s="68"/>
      <c r="B340" s="69"/>
      <c r="C340" s="69"/>
    </row>
    <row r="341" spans="1:3" x14ac:dyDescent="0.2">
      <c r="A341" s="68"/>
      <c r="B341" s="69"/>
      <c r="C341" s="69"/>
    </row>
    <row r="342" spans="1:3" x14ac:dyDescent="0.2">
      <c r="A342" s="68"/>
      <c r="B342" s="69"/>
      <c r="C342" s="69"/>
    </row>
    <row r="343" spans="1:3" x14ac:dyDescent="0.2">
      <c r="A343" s="68"/>
      <c r="B343" s="69"/>
      <c r="C343" s="69"/>
    </row>
    <row r="344" spans="1:3" x14ac:dyDescent="0.2">
      <c r="A344" s="68"/>
      <c r="B344" s="69"/>
      <c r="C344" s="69"/>
    </row>
    <row r="345" spans="1:3" x14ac:dyDescent="0.2">
      <c r="A345" s="68"/>
      <c r="B345" s="69"/>
      <c r="C345" s="69"/>
    </row>
    <row r="346" spans="1:3" x14ac:dyDescent="0.2">
      <c r="A346" s="68"/>
      <c r="B346" s="69"/>
      <c r="C346" s="69"/>
    </row>
    <row r="347" spans="1:3" x14ac:dyDescent="0.2">
      <c r="A347" s="68"/>
      <c r="B347" s="69"/>
      <c r="C347" s="69"/>
    </row>
    <row r="348" spans="1:3" x14ac:dyDescent="0.2">
      <c r="A348" s="68"/>
      <c r="B348" s="69"/>
      <c r="C348" s="69"/>
    </row>
    <row r="349" spans="1:3" x14ac:dyDescent="0.2">
      <c r="A349" s="68"/>
      <c r="B349" s="69"/>
      <c r="C349" s="69"/>
    </row>
    <row r="350" spans="1:3" x14ac:dyDescent="0.2">
      <c r="A350" s="68"/>
      <c r="B350" s="69"/>
      <c r="C350" s="69"/>
    </row>
    <row r="351" spans="1:3" x14ac:dyDescent="0.2">
      <c r="A351" s="68"/>
      <c r="B351" s="69"/>
      <c r="C351" s="69"/>
    </row>
    <row r="352" spans="1:3" x14ac:dyDescent="0.2">
      <c r="A352" s="68"/>
      <c r="B352" s="69"/>
      <c r="C352" s="69"/>
    </row>
    <row r="353" spans="1:3" x14ac:dyDescent="0.2">
      <c r="A353" s="68"/>
      <c r="B353" s="69"/>
      <c r="C353" s="69"/>
    </row>
    <row r="354" spans="1:3" x14ac:dyDescent="0.2">
      <c r="A354" s="68"/>
      <c r="B354" s="69"/>
      <c r="C354" s="69"/>
    </row>
    <row r="355" spans="1:3" x14ac:dyDescent="0.2">
      <c r="A355" s="68"/>
      <c r="B355" s="69"/>
      <c r="C355" s="69"/>
    </row>
    <row r="356" spans="1:3" x14ac:dyDescent="0.2">
      <c r="A356" s="68"/>
      <c r="B356" s="69"/>
      <c r="C356" s="69"/>
    </row>
    <row r="357" spans="1:3" x14ac:dyDescent="0.2">
      <c r="A357" s="68"/>
      <c r="B357" s="69"/>
      <c r="C357" s="69"/>
    </row>
    <row r="358" spans="1:3" x14ac:dyDescent="0.2">
      <c r="A358" s="68"/>
      <c r="B358" s="69"/>
      <c r="C358" s="69"/>
    </row>
    <row r="359" spans="1:3" x14ac:dyDescent="0.2">
      <c r="A359" s="68"/>
      <c r="B359" s="69"/>
      <c r="C359" s="69"/>
    </row>
    <row r="360" spans="1:3" x14ac:dyDescent="0.2">
      <c r="A360" s="68"/>
      <c r="B360" s="69"/>
      <c r="C360" s="69"/>
    </row>
    <row r="361" spans="1:3" x14ac:dyDescent="0.2">
      <c r="A361" s="68"/>
      <c r="B361" s="69"/>
      <c r="C361" s="69"/>
    </row>
    <row r="362" spans="1:3" x14ac:dyDescent="0.2">
      <c r="A362" s="68"/>
      <c r="B362" s="69"/>
      <c r="C362" s="69"/>
    </row>
    <row r="363" spans="1:3" x14ac:dyDescent="0.2">
      <c r="A363" s="68"/>
      <c r="B363" s="69"/>
      <c r="C363" s="69"/>
    </row>
    <row r="364" spans="1:3" x14ac:dyDescent="0.2">
      <c r="A364" s="68"/>
      <c r="B364" s="69"/>
      <c r="C364" s="69"/>
    </row>
    <row r="365" spans="1:3" x14ac:dyDescent="0.2">
      <c r="A365" s="68"/>
      <c r="B365" s="69"/>
      <c r="C365" s="69"/>
    </row>
    <row r="366" spans="1:3" x14ac:dyDescent="0.2">
      <c r="A366" s="68"/>
      <c r="B366" s="69"/>
      <c r="C366" s="69"/>
    </row>
    <row r="367" spans="1:3" x14ac:dyDescent="0.2">
      <c r="A367" s="68"/>
      <c r="B367" s="69"/>
      <c r="C367" s="69"/>
    </row>
    <row r="368" spans="1:3" x14ac:dyDescent="0.2">
      <c r="A368" s="68"/>
      <c r="B368" s="69"/>
      <c r="C368" s="69"/>
    </row>
  </sheetData>
  <autoFilter ref="A20:G88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377">
    <mergeCell ref="A368:C368"/>
    <mergeCell ref="A363:C363"/>
    <mergeCell ref="A364:C364"/>
    <mergeCell ref="A365:C365"/>
    <mergeCell ref="A366:C366"/>
    <mergeCell ref="A367:C367"/>
    <mergeCell ref="A358:C358"/>
    <mergeCell ref="A359:C359"/>
    <mergeCell ref="A360:C360"/>
    <mergeCell ref="A361:C361"/>
    <mergeCell ref="A362:C362"/>
    <mergeCell ref="A353:C353"/>
    <mergeCell ref="A354:C354"/>
    <mergeCell ref="A355:C355"/>
    <mergeCell ref="A356:C356"/>
    <mergeCell ref="A357:C357"/>
    <mergeCell ref="A348:C348"/>
    <mergeCell ref="A349:C349"/>
    <mergeCell ref="A350:C350"/>
    <mergeCell ref="A351:C351"/>
    <mergeCell ref="A352:C352"/>
    <mergeCell ref="A343:C343"/>
    <mergeCell ref="A344:C344"/>
    <mergeCell ref="A345:C345"/>
    <mergeCell ref="A346:C346"/>
    <mergeCell ref="A347:C347"/>
    <mergeCell ref="A338:C338"/>
    <mergeCell ref="A339:C339"/>
    <mergeCell ref="A340:C340"/>
    <mergeCell ref="A341:C341"/>
    <mergeCell ref="A342:C342"/>
    <mergeCell ref="A333:C333"/>
    <mergeCell ref="A334:C334"/>
    <mergeCell ref="A335:C335"/>
    <mergeCell ref="A336:C336"/>
    <mergeCell ref="A337:C337"/>
    <mergeCell ref="A328:C328"/>
    <mergeCell ref="A329:C329"/>
    <mergeCell ref="A330:C330"/>
    <mergeCell ref="A331:C331"/>
    <mergeCell ref="A332:C332"/>
    <mergeCell ref="A323:C323"/>
    <mergeCell ref="A324:C324"/>
    <mergeCell ref="A325:C325"/>
    <mergeCell ref="A326:C326"/>
    <mergeCell ref="A327:C327"/>
    <mergeCell ref="A318:C318"/>
    <mergeCell ref="A319:C319"/>
    <mergeCell ref="A320:C320"/>
    <mergeCell ref="A321:C321"/>
    <mergeCell ref="A322:C322"/>
    <mergeCell ref="A313:C313"/>
    <mergeCell ref="A314:C314"/>
    <mergeCell ref="A315:C315"/>
    <mergeCell ref="A316:C316"/>
    <mergeCell ref="A317:C317"/>
    <mergeCell ref="A308:C308"/>
    <mergeCell ref="A309:C309"/>
    <mergeCell ref="A310:C310"/>
    <mergeCell ref="A311:C311"/>
    <mergeCell ref="A312:C312"/>
    <mergeCell ref="A303:C303"/>
    <mergeCell ref="A304:C304"/>
    <mergeCell ref="A305:C305"/>
    <mergeCell ref="A306:C306"/>
    <mergeCell ref="A307:C307"/>
    <mergeCell ref="A298:C298"/>
    <mergeCell ref="A299:C299"/>
    <mergeCell ref="A300:C300"/>
    <mergeCell ref="A301:C301"/>
    <mergeCell ref="A302:C302"/>
    <mergeCell ref="A293:C293"/>
    <mergeCell ref="A294:C294"/>
    <mergeCell ref="A295:C295"/>
    <mergeCell ref="A296:C296"/>
    <mergeCell ref="A297:C297"/>
    <mergeCell ref="A288:C288"/>
    <mergeCell ref="A289:C289"/>
    <mergeCell ref="A290:C290"/>
    <mergeCell ref="A291:C291"/>
    <mergeCell ref="A292:C292"/>
    <mergeCell ref="A283:C283"/>
    <mergeCell ref="A284:C284"/>
    <mergeCell ref="A285:C285"/>
    <mergeCell ref="A286:C286"/>
    <mergeCell ref="A287:C287"/>
    <mergeCell ref="A278:C278"/>
    <mergeCell ref="A279:C279"/>
    <mergeCell ref="A280:C280"/>
    <mergeCell ref="A281:C281"/>
    <mergeCell ref="A282:C282"/>
    <mergeCell ref="A273:C273"/>
    <mergeCell ref="A274:C274"/>
    <mergeCell ref="A275:C275"/>
    <mergeCell ref="A276:C276"/>
    <mergeCell ref="A277:C277"/>
    <mergeCell ref="A268:C268"/>
    <mergeCell ref="A269:C269"/>
    <mergeCell ref="A270:C270"/>
    <mergeCell ref="A271:C271"/>
    <mergeCell ref="A272:C272"/>
    <mergeCell ref="A263:C263"/>
    <mergeCell ref="A264:C264"/>
    <mergeCell ref="A265:C265"/>
    <mergeCell ref="A266:C266"/>
    <mergeCell ref="A267:C267"/>
    <mergeCell ref="A258:C258"/>
    <mergeCell ref="A259:C259"/>
    <mergeCell ref="A260:C260"/>
    <mergeCell ref="A261:C261"/>
    <mergeCell ref="A262:C262"/>
    <mergeCell ref="A253:C253"/>
    <mergeCell ref="A254:C254"/>
    <mergeCell ref="A255:C255"/>
    <mergeCell ref="A256:C256"/>
    <mergeCell ref="A257:C257"/>
    <mergeCell ref="A248:C248"/>
    <mergeCell ref="A249:C249"/>
    <mergeCell ref="A250:C250"/>
    <mergeCell ref="A251:C251"/>
    <mergeCell ref="A252:C252"/>
    <mergeCell ref="A243:C243"/>
    <mergeCell ref="A244:C244"/>
    <mergeCell ref="A245:C245"/>
    <mergeCell ref="A246:C246"/>
    <mergeCell ref="A247:C247"/>
    <mergeCell ref="A238:C238"/>
    <mergeCell ref="A239:C239"/>
    <mergeCell ref="A240:C240"/>
    <mergeCell ref="A241:C241"/>
    <mergeCell ref="A242:C242"/>
    <mergeCell ref="A233:C233"/>
    <mergeCell ref="A234:C234"/>
    <mergeCell ref="A235:C235"/>
    <mergeCell ref="A236:C236"/>
    <mergeCell ref="A237:C237"/>
    <mergeCell ref="A228:C228"/>
    <mergeCell ref="A229:C229"/>
    <mergeCell ref="A230:C230"/>
    <mergeCell ref="A231:C231"/>
    <mergeCell ref="A232:C232"/>
    <mergeCell ref="A223:C223"/>
    <mergeCell ref="A224:C224"/>
    <mergeCell ref="A225:C225"/>
    <mergeCell ref="A226:C226"/>
    <mergeCell ref="A227:C227"/>
    <mergeCell ref="A218:C218"/>
    <mergeCell ref="A219:C219"/>
    <mergeCell ref="A220:C220"/>
    <mergeCell ref="A221:C221"/>
    <mergeCell ref="A222:C222"/>
    <mergeCell ref="A213:C213"/>
    <mergeCell ref="A214:C214"/>
    <mergeCell ref="A215:C215"/>
    <mergeCell ref="A216:C216"/>
    <mergeCell ref="A217:C217"/>
    <mergeCell ref="A208:C208"/>
    <mergeCell ref="A209:C209"/>
    <mergeCell ref="A210:C210"/>
    <mergeCell ref="A211:C211"/>
    <mergeCell ref="A212:C212"/>
    <mergeCell ref="A203:C203"/>
    <mergeCell ref="A204:C204"/>
    <mergeCell ref="A205:C205"/>
    <mergeCell ref="A206:C206"/>
    <mergeCell ref="A207:C207"/>
    <mergeCell ref="A198:C198"/>
    <mergeCell ref="A199:C199"/>
    <mergeCell ref="A200:C200"/>
    <mergeCell ref="A201:C201"/>
    <mergeCell ref="A202:C202"/>
    <mergeCell ref="A193:C193"/>
    <mergeCell ref="A194:C194"/>
    <mergeCell ref="A195:C195"/>
    <mergeCell ref="A196:C196"/>
    <mergeCell ref="A197:C197"/>
    <mergeCell ref="A188:C188"/>
    <mergeCell ref="A189:C189"/>
    <mergeCell ref="A190:C190"/>
    <mergeCell ref="A191:C191"/>
    <mergeCell ref="A192:C192"/>
    <mergeCell ref="A183:C183"/>
    <mergeCell ref="A184:C184"/>
    <mergeCell ref="A185:C185"/>
    <mergeCell ref="A186:C186"/>
    <mergeCell ref="A187:C187"/>
    <mergeCell ref="A178:C178"/>
    <mergeCell ref="A179:C179"/>
    <mergeCell ref="A180:C180"/>
    <mergeCell ref="A181:C181"/>
    <mergeCell ref="A182:C182"/>
    <mergeCell ref="A173:C173"/>
    <mergeCell ref="A174:C174"/>
    <mergeCell ref="A175:C175"/>
    <mergeCell ref="A176:C176"/>
    <mergeCell ref="A177:C177"/>
    <mergeCell ref="A168:C168"/>
    <mergeCell ref="A169:C169"/>
    <mergeCell ref="A170:C170"/>
    <mergeCell ref="A171:C171"/>
    <mergeCell ref="A172:C172"/>
    <mergeCell ref="A163:C163"/>
    <mergeCell ref="A164:C164"/>
    <mergeCell ref="A165:C165"/>
    <mergeCell ref="A166:C166"/>
    <mergeCell ref="A167:C167"/>
    <mergeCell ref="A158:C158"/>
    <mergeCell ref="A159:C159"/>
    <mergeCell ref="A160:C160"/>
    <mergeCell ref="A161:C161"/>
    <mergeCell ref="A162:C162"/>
    <mergeCell ref="A153:C153"/>
    <mergeCell ref="A154:C154"/>
    <mergeCell ref="A155:C155"/>
    <mergeCell ref="A156:C156"/>
    <mergeCell ref="A157:C157"/>
    <mergeCell ref="A148:C148"/>
    <mergeCell ref="A149:C149"/>
    <mergeCell ref="A150:C150"/>
    <mergeCell ref="A151:C151"/>
    <mergeCell ref="A152:C152"/>
    <mergeCell ref="A143:C143"/>
    <mergeCell ref="A144:C144"/>
    <mergeCell ref="A145:C145"/>
    <mergeCell ref="A146:C146"/>
    <mergeCell ref="A147:C147"/>
    <mergeCell ref="A138:C138"/>
    <mergeCell ref="A139:C139"/>
    <mergeCell ref="A140:C140"/>
    <mergeCell ref="A141:C141"/>
    <mergeCell ref="A142:C142"/>
    <mergeCell ref="A133:C133"/>
    <mergeCell ref="A134:C134"/>
    <mergeCell ref="A135:C135"/>
    <mergeCell ref="A136:C136"/>
    <mergeCell ref="A137:C137"/>
    <mergeCell ref="A128:C128"/>
    <mergeCell ref="A129:C129"/>
    <mergeCell ref="A130:C130"/>
    <mergeCell ref="A131:C131"/>
    <mergeCell ref="A132:C132"/>
    <mergeCell ref="A123:C123"/>
    <mergeCell ref="A124:C124"/>
    <mergeCell ref="A125:C125"/>
    <mergeCell ref="A126:C126"/>
    <mergeCell ref="A127:C127"/>
    <mergeCell ref="A118:C118"/>
    <mergeCell ref="A119:C119"/>
    <mergeCell ref="A120:C120"/>
    <mergeCell ref="A121:C121"/>
    <mergeCell ref="A122:C122"/>
    <mergeCell ref="A113:C113"/>
    <mergeCell ref="A114:C114"/>
    <mergeCell ref="A115:C115"/>
    <mergeCell ref="A116:C116"/>
    <mergeCell ref="A117:C117"/>
    <mergeCell ref="A108:C108"/>
    <mergeCell ref="A109:C109"/>
    <mergeCell ref="A110:C110"/>
    <mergeCell ref="A111:C111"/>
    <mergeCell ref="A112:C112"/>
    <mergeCell ref="A105:C105"/>
    <mergeCell ref="A106:C106"/>
    <mergeCell ref="A107:C107"/>
    <mergeCell ref="A104:C104"/>
    <mergeCell ref="A99:C99"/>
    <mergeCell ref="A100:C100"/>
    <mergeCell ref="A101:C101"/>
    <mergeCell ref="A102:C102"/>
    <mergeCell ref="A103:C103"/>
    <mergeCell ref="A94:C94"/>
    <mergeCell ref="A95:C95"/>
    <mergeCell ref="A96:C96"/>
    <mergeCell ref="A97:C97"/>
    <mergeCell ref="A98:C98"/>
    <mergeCell ref="A89:C89"/>
    <mergeCell ref="A90:C90"/>
    <mergeCell ref="A91:C91"/>
    <mergeCell ref="A92:C92"/>
    <mergeCell ref="A93:C93"/>
    <mergeCell ref="A84:C84"/>
    <mergeCell ref="A85:C85"/>
    <mergeCell ref="A86:C86"/>
    <mergeCell ref="A87:C87"/>
    <mergeCell ref="A88:C88"/>
    <mergeCell ref="A79:C79"/>
    <mergeCell ref="A80:C80"/>
    <mergeCell ref="A81:C81"/>
    <mergeCell ref="A82:C82"/>
    <mergeCell ref="A83:C83"/>
    <mergeCell ref="A74:C74"/>
    <mergeCell ref="A75:C75"/>
    <mergeCell ref="A76:C76"/>
    <mergeCell ref="A77:C77"/>
    <mergeCell ref="A78:C78"/>
    <mergeCell ref="A69:C69"/>
    <mergeCell ref="A70:C70"/>
    <mergeCell ref="A71:C71"/>
    <mergeCell ref="A72:C72"/>
    <mergeCell ref="A73:C73"/>
    <mergeCell ref="A64:C64"/>
    <mergeCell ref="A65:C65"/>
    <mergeCell ref="A66:C66"/>
    <mergeCell ref="A67:C67"/>
    <mergeCell ref="A68:C68"/>
    <mergeCell ref="A59:C59"/>
    <mergeCell ref="A60:C60"/>
    <mergeCell ref="A61:C61"/>
    <mergeCell ref="A62:C62"/>
    <mergeCell ref="A63:C63"/>
    <mergeCell ref="A54:C54"/>
    <mergeCell ref="A55:C55"/>
    <mergeCell ref="A56:C56"/>
    <mergeCell ref="A57:C57"/>
    <mergeCell ref="A58:C58"/>
    <mergeCell ref="A49:C49"/>
    <mergeCell ref="A50:C50"/>
    <mergeCell ref="A51:C51"/>
    <mergeCell ref="A52:C52"/>
    <mergeCell ref="A53:C53"/>
    <mergeCell ref="A44:C44"/>
    <mergeCell ref="A45:C45"/>
    <mergeCell ref="A46:C46"/>
    <mergeCell ref="A47:C47"/>
    <mergeCell ref="A48:C48"/>
    <mergeCell ref="A40:C40"/>
    <mergeCell ref="A42:C42"/>
    <mergeCell ref="A41:C41"/>
    <mergeCell ref="A43:C43"/>
    <mergeCell ref="A25:C25"/>
    <mergeCell ref="A26:C26"/>
    <mergeCell ref="A27:C27"/>
    <mergeCell ref="A28:C28"/>
    <mergeCell ref="A29:C29"/>
    <mergeCell ref="B16:I16"/>
    <mergeCell ref="J16:M16"/>
    <mergeCell ref="N16:Q16"/>
    <mergeCell ref="B17:I17"/>
    <mergeCell ref="J17:M17"/>
    <mergeCell ref="N17:Q17"/>
    <mergeCell ref="A24:C24"/>
    <mergeCell ref="E24:F24"/>
    <mergeCell ref="B18:I18"/>
    <mergeCell ref="J18:M18"/>
    <mergeCell ref="N18:Q18"/>
    <mergeCell ref="A20:G20"/>
    <mergeCell ref="E21:E23"/>
    <mergeCell ref="F21:F23"/>
    <mergeCell ref="G21:G23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A39:C3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312A-750B-4BA5-98A1-6404287A103C}">
  <dimension ref="A1:Q54"/>
  <sheetViews>
    <sheetView topLeftCell="A10" workbookViewId="0">
      <selection activeCell="E44" sqref="E44"/>
    </sheetView>
  </sheetViews>
  <sheetFormatPr baseColWidth="10" defaultRowHeight="12.75" x14ac:dyDescent="0.2"/>
  <cols>
    <col min="8" max="8" width="13.5703125" bestFit="1" customWidth="1"/>
  </cols>
  <sheetData>
    <row r="1" spans="1:17" ht="20.25" x14ac:dyDescent="0.3">
      <c r="A1" s="5" t="s">
        <v>3</v>
      </c>
      <c r="B1" s="77" t="s">
        <v>74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</row>
    <row r="2" spans="1:17" x14ac:dyDescent="0.2">
      <c r="A2" s="2" t="s">
        <v>5</v>
      </c>
      <c r="B2" s="74" t="s">
        <v>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x14ac:dyDescent="0.2">
      <c r="A3" s="2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</row>
    <row r="4" spans="1:17" ht="25.5" x14ac:dyDescent="0.2">
      <c r="A4" s="2" t="s">
        <v>7</v>
      </c>
      <c r="B4" s="72" t="s">
        <v>75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</row>
    <row r="5" spans="1:17" x14ac:dyDescent="0.2">
      <c r="A5" s="18" t="s">
        <v>9</v>
      </c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</row>
    <row r="6" spans="1:17" x14ac:dyDescent="0.2">
      <c r="A6" s="18" t="s">
        <v>11</v>
      </c>
      <c r="B6" s="72" t="s">
        <v>12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1:17" x14ac:dyDescent="0.2">
      <c r="A7" s="2"/>
      <c r="B7" s="72"/>
      <c r="C7" s="72"/>
      <c r="D7" s="72"/>
      <c r="E7" s="72"/>
      <c r="F7" s="72"/>
      <c r="G7" s="72"/>
      <c r="H7" s="72"/>
      <c r="I7" s="72"/>
      <c r="J7" s="73" t="s">
        <v>13</v>
      </c>
      <c r="K7" s="73"/>
      <c r="L7" s="73"/>
      <c r="M7" s="73"/>
      <c r="N7" s="74" t="s">
        <v>76</v>
      </c>
      <c r="O7" s="74"/>
      <c r="P7" s="74"/>
      <c r="Q7" s="74"/>
    </row>
    <row r="8" spans="1:17" ht="25.5" x14ac:dyDescent="0.2">
      <c r="A8" s="2" t="s">
        <v>15</v>
      </c>
      <c r="B8" s="72" t="s">
        <v>16</v>
      </c>
      <c r="C8" s="72"/>
      <c r="D8" s="72"/>
      <c r="E8" s="72"/>
      <c r="F8" s="72"/>
      <c r="G8" s="72"/>
      <c r="H8" s="72"/>
      <c r="I8" s="72"/>
      <c r="J8" s="73" t="s">
        <v>17</v>
      </c>
      <c r="K8" s="73"/>
      <c r="L8" s="73"/>
      <c r="M8" s="73"/>
      <c r="N8" s="74" t="s">
        <v>18</v>
      </c>
      <c r="O8" s="74"/>
      <c r="P8" s="74"/>
      <c r="Q8" s="74"/>
    </row>
    <row r="9" spans="1:17" x14ac:dyDescent="0.2">
      <c r="A9" s="2" t="s">
        <v>19</v>
      </c>
      <c r="B9" s="72" t="s">
        <v>20</v>
      </c>
      <c r="C9" s="72"/>
      <c r="D9" s="72"/>
      <c r="E9" s="72"/>
      <c r="F9" s="72"/>
      <c r="G9" s="72"/>
      <c r="H9" s="72"/>
      <c r="I9" s="72"/>
      <c r="J9" s="73" t="s">
        <v>21</v>
      </c>
      <c r="K9" s="73"/>
      <c r="L9" s="73"/>
      <c r="M9" s="73"/>
      <c r="N9" s="74" t="s">
        <v>22</v>
      </c>
      <c r="O9" s="74"/>
      <c r="P9" s="74"/>
      <c r="Q9" s="74"/>
    </row>
    <row r="10" spans="1:17" x14ac:dyDescent="0.2">
      <c r="A10" s="18" t="s">
        <v>23</v>
      </c>
      <c r="B10" s="78" t="s">
        <v>24</v>
      </c>
      <c r="C10" s="78"/>
      <c r="D10" s="78"/>
      <c r="E10" s="78"/>
      <c r="F10" s="78"/>
      <c r="G10" s="78"/>
      <c r="H10" s="78"/>
      <c r="I10" s="78"/>
      <c r="J10" s="81" t="s">
        <v>25</v>
      </c>
      <c r="K10" s="81"/>
      <c r="L10" s="81"/>
      <c r="M10" s="81"/>
      <c r="N10" s="74" t="s">
        <v>77</v>
      </c>
      <c r="O10" s="74"/>
      <c r="P10" s="74"/>
      <c r="Q10" s="74"/>
    </row>
    <row r="11" spans="1:17" x14ac:dyDescent="0.2">
      <c r="A11" s="2" t="s">
        <v>27</v>
      </c>
      <c r="B11" s="72" t="s">
        <v>28</v>
      </c>
      <c r="C11" s="72"/>
      <c r="D11" s="72"/>
      <c r="E11" s="72"/>
      <c r="F11" s="72"/>
      <c r="G11" s="72"/>
      <c r="H11" s="72"/>
      <c r="I11" s="72"/>
      <c r="J11" s="73" t="s">
        <v>29</v>
      </c>
      <c r="K11" s="73"/>
      <c r="L11" s="73"/>
      <c r="M11" s="73"/>
      <c r="N11" s="74" t="s">
        <v>78</v>
      </c>
      <c r="O11" s="74"/>
      <c r="P11" s="74"/>
      <c r="Q11" s="74"/>
    </row>
    <row r="12" spans="1:17" x14ac:dyDescent="0.2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87" t="s">
        <v>79</v>
      </c>
      <c r="B13" s="88"/>
      <c r="C13" s="88"/>
      <c r="D13" s="88"/>
      <c r="E13" s="88"/>
      <c r="F13" s="88"/>
      <c r="G13" s="88"/>
      <c r="H13" s="88"/>
      <c r="I13" s="89"/>
      <c r="J13" s="1"/>
      <c r="K13" s="1"/>
      <c r="L13" s="1"/>
      <c r="M13" s="1"/>
      <c r="N13" s="1"/>
      <c r="O13" s="1"/>
      <c r="P13" s="1"/>
      <c r="Q13" s="1"/>
    </row>
    <row r="14" spans="1:17" ht="38.25" x14ac:dyDescent="0.2">
      <c r="A14" s="98" t="s">
        <v>35</v>
      </c>
      <c r="B14" s="99"/>
      <c r="C14" s="100"/>
      <c r="D14" s="10"/>
      <c r="E14" s="38" t="s">
        <v>80</v>
      </c>
      <c r="F14" s="38" t="s">
        <v>81</v>
      </c>
      <c r="G14" s="38" t="s">
        <v>82</v>
      </c>
      <c r="H14" s="104" t="s">
        <v>83</v>
      </c>
      <c r="I14" s="33" t="s">
        <v>71</v>
      </c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101"/>
      <c r="B15" s="102"/>
      <c r="C15" s="103"/>
      <c r="D15" s="7" t="s">
        <v>36</v>
      </c>
      <c r="E15" s="106" t="s">
        <v>38</v>
      </c>
      <c r="F15" s="107"/>
      <c r="G15" s="108"/>
      <c r="H15" s="105"/>
      <c r="I15" s="34" t="s">
        <v>38</v>
      </c>
      <c r="J15" s="1" t="s">
        <v>72</v>
      </c>
      <c r="K15" s="1"/>
      <c r="L15" s="1"/>
      <c r="M15" s="1"/>
      <c r="N15" s="1"/>
      <c r="O15" s="1"/>
      <c r="P15" s="1"/>
      <c r="Q15" s="1"/>
    </row>
    <row r="16" spans="1:17" x14ac:dyDescent="0.2">
      <c r="A16" s="79" t="s">
        <v>39</v>
      </c>
      <c r="B16" s="80"/>
      <c r="C16" s="80"/>
      <c r="D16" s="19" t="s">
        <v>84</v>
      </c>
      <c r="E16" s="39">
        <v>15</v>
      </c>
      <c r="F16" s="40">
        <v>29</v>
      </c>
      <c r="G16" s="39">
        <v>56</v>
      </c>
      <c r="H16" s="40" t="s">
        <v>85</v>
      </c>
      <c r="I16" s="35">
        <v>86</v>
      </c>
      <c r="J16" s="1" t="s">
        <v>91</v>
      </c>
      <c r="K16" s="1"/>
      <c r="L16" s="1"/>
      <c r="M16" s="1"/>
      <c r="N16" s="1"/>
      <c r="O16" s="1"/>
      <c r="P16" s="1"/>
      <c r="Q16" s="1"/>
    </row>
    <row r="17" spans="1:17" x14ac:dyDescent="0.2">
      <c r="A17" s="70" t="s">
        <v>41</v>
      </c>
      <c r="B17" s="71"/>
      <c r="C17" s="71"/>
      <c r="D17" s="20" t="s">
        <v>86</v>
      </c>
      <c r="E17" s="41">
        <v>15</v>
      </c>
      <c r="F17" s="42">
        <v>27</v>
      </c>
      <c r="G17" s="41">
        <v>58</v>
      </c>
      <c r="H17" s="42" t="s">
        <v>85</v>
      </c>
      <c r="I17" s="36">
        <v>94</v>
      </c>
      <c r="J17" s="1" t="s">
        <v>91</v>
      </c>
      <c r="K17" s="1"/>
      <c r="L17" s="1"/>
      <c r="M17" s="1"/>
      <c r="N17" s="1"/>
      <c r="O17" s="1"/>
      <c r="P17" s="1"/>
      <c r="Q17" s="1"/>
    </row>
    <row r="18" spans="1:17" x14ac:dyDescent="0.2">
      <c r="A18" s="70" t="s">
        <v>43</v>
      </c>
      <c r="B18" s="71"/>
      <c r="C18" s="71"/>
      <c r="D18" s="20" t="s">
        <v>87</v>
      </c>
      <c r="E18" s="41">
        <v>14</v>
      </c>
      <c r="F18" s="42">
        <v>28</v>
      </c>
      <c r="G18" s="41">
        <v>58</v>
      </c>
      <c r="H18" s="42" t="s">
        <v>85</v>
      </c>
      <c r="I18" s="36">
        <v>90</v>
      </c>
      <c r="J18" s="1" t="s">
        <v>91</v>
      </c>
      <c r="K18" s="1"/>
      <c r="L18" s="1"/>
      <c r="M18" s="1"/>
      <c r="N18" s="1"/>
      <c r="O18" s="1"/>
      <c r="P18" s="1"/>
      <c r="Q18" s="1"/>
    </row>
    <row r="19" spans="1:17" x14ac:dyDescent="0.2">
      <c r="A19" s="70" t="s">
        <v>55</v>
      </c>
      <c r="B19" s="71"/>
      <c r="C19" s="71"/>
      <c r="D19" s="20" t="s">
        <v>88</v>
      </c>
      <c r="E19" s="41">
        <v>10</v>
      </c>
      <c r="F19" s="42">
        <v>22</v>
      </c>
      <c r="G19" s="41">
        <v>68</v>
      </c>
      <c r="H19" s="42" t="s">
        <v>85</v>
      </c>
      <c r="I19" s="36">
        <v>17</v>
      </c>
      <c r="J19" s="1" t="s">
        <v>91</v>
      </c>
      <c r="K19" s="1"/>
      <c r="L19" s="1"/>
      <c r="M19" s="1"/>
      <c r="N19" s="1"/>
      <c r="O19" s="1"/>
      <c r="P19" s="1"/>
      <c r="Q19" s="1"/>
    </row>
    <row r="20" spans="1:17" x14ac:dyDescent="0.2">
      <c r="A20" s="70" t="s">
        <v>57</v>
      </c>
      <c r="B20" s="71"/>
      <c r="C20" s="71"/>
      <c r="D20" s="20" t="s">
        <v>89</v>
      </c>
      <c r="E20" s="41">
        <v>9</v>
      </c>
      <c r="F20" s="42">
        <v>23</v>
      </c>
      <c r="G20" s="41">
        <v>68</v>
      </c>
      <c r="H20" s="42" t="s">
        <v>85</v>
      </c>
      <c r="I20" s="36">
        <v>84</v>
      </c>
      <c r="J20" s="1" t="s">
        <v>91</v>
      </c>
      <c r="K20" s="1"/>
      <c r="L20" s="1"/>
      <c r="M20" s="1"/>
      <c r="N20" s="1"/>
      <c r="O20" s="1"/>
      <c r="P20" s="1"/>
      <c r="Q20" s="1"/>
    </row>
    <row r="21" spans="1:17" x14ac:dyDescent="0.2">
      <c r="A21" s="68" t="s">
        <v>59</v>
      </c>
      <c r="B21" s="69"/>
      <c r="C21" s="69"/>
      <c r="D21" s="24" t="s">
        <v>90</v>
      </c>
      <c r="E21" s="43">
        <v>12</v>
      </c>
      <c r="F21" s="44">
        <v>24</v>
      </c>
      <c r="G21" s="43">
        <v>64</v>
      </c>
      <c r="H21" s="44" t="s">
        <v>85</v>
      </c>
      <c r="I21" s="37">
        <v>83</v>
      </c>
      <c r="J21" s="1" t="s">
        <v>91</v>
      </c>
      <c r="K21" s="1"/>
      <c r="L21" s="1"/>
      <c r="M21" s="1"/>
      <c r="N21" s="1"/>
      <c r="O21" s="1"/>
      <c r="P21" s="1"/>
      <c r="Q21" s="1"/>
    </row>
    <row r="22" spans="1:17" x14ac:dyDescent="0.2">
      <c r="A22" s="79" t="s">
        <v>117</v>
      </c>
      <c r="B22" s="80"/>
      <c r="C22" s="97"/>
      <c r="D22" s="19" t="s">
        <v>118</v>
      </c>
      <c r="E22" s="56">
        <v>9</v>
      </c>
      <c r="F22" s="40">
        <v>36</v>
      </c>
      <c r="G22" s="39">
        <v>55</v>
      </c>
      <c r="H22" s="40" t="s">
        <v>85</v>
      </c>
      <c r="I22" s="27">
        <v>88</v>
      </c>
      <c r="J22" t="s">
        <v>147</v>
      </c>
    </row>
    <row r="23" spans="1:17" x14ac:dyDescent="0.2">
      <c r="A23" s="70" t="s">
        <v>119</v>
      </c>
      <c r="B23" s="71"/>
      <c r="C23" s="95"/>
      <c r="D23" s="20" t="s">
        <v>120</v>
      </c>
      <c r="E23" s="57">
        <v>12</v>
      </c>
      <c r="F23" s="42">
        <v>36</v>
      </c>
      <c r="G23" s="41">
        <v>52</v>
      </c>
      <c r="H23" s="42" t="s">
        <v>85</v>
      </c>
      <c r="I23" s="10">
        <v>85</v>
      </c>
      <c r="J23" t="s">
        <v>147</v>
      </c>
    </row>
    <row r="24" spans="1:17" x14ac:dyDescent="0.2">
      <c r="A24" s="70" t="s">
        <v>121</v>
      </c>
      <c r="B24" s="71"/>
      <c r="C24" s="95"/>
      <c r="D24" s="20" t="s">
        <v>122</v>
      </c>
      <c r="E24" s="57">
        <v>12</v>
      </c>
      <c r="F24" s="42">
        <v>35</v>
      </c>
      <c r="G24" s="41">
        <v>53</v>
      </c>
      <c r="H24" s="42" t="s">
        <v>85</v>
      </c>
      <c r="I24" s="10">
        <v>88</v>
      </c>
      <c r="J24" t="s">
        <v>147</v>
      </c>
    </row>
    <row r="25" spans="1:17" x14ac:dyDescent="0.2">
      <c r="A25" s="70" t="s">
        <v>123</v>
      </c>
      <c r="B25" s="71"/>
      <c r="C25" s="95"/>
      <c r="D25" s="20" t="s">
        <v>124</v>
      </c>
      <c r="E25" s="57">
        <v>7</v>
      </c>
      <c r="F25" s="42">
        <v>24</v>
      </c>
      <c r="G25" s="41">
        <v>69</v>
      </c>
      <c r="H25" s="42" t="s">
        <v>85</v>
      </c>
      <c r="I25" s="10">
        <v>92</v>
      </c>
      <c r="J25" t="s">
        <v>147</v>
      </c>
    </row>
    <row r="26" spans="1:17" x14ac:dyDescent="0.2">
      <c r="A26" s="70" t="s">
        <v>125</v>
      </c>
      <c r="B26" s="71"/>
      <c r="C26" s="95"/>
      <c r="D26" s="20" t="s">
        <v>126</v>
      </c>
      <c r="E26" s="57">
        <v>7</v>
      </c>
      <c r="F26" s="42">
        <v>24</v>
      </c>
      <c r="G26" s="41">
        <v>69</v>
      </c>
      <c r="H26" s="42" t="s">
        <v>85</v>
      </c>
      <c r="I26" s="10">
        <v>89</v>
      </c>
      <c r="J26" t="s">
        <v>147</v>
      </c>
    </row>
    <row r="27" spans="1:17" x14ac:dyDescent="0.2">
      <c r="A27" s="70" t="s">
        <v>127</v>
      </c>
      <c r="B27" s="71"/>
      <c r="C27" s="95"/>
      <c r="D27" s="20" t="s">
        <v>128</v>
      </c>
      <c r="E27" s="57">
        <v>7</v>
      </c>
      <c r="F27" s="42">
        <v>24</v>
      </c>
      <c r="G27" s="41">
        <v>69</v>
      </c>
      <c r="H27" s="42" t="s">
        <v>85</v>
      </c>
      <c r="I27" s="10">
        <v>87</v>
      </c>
      <c r="J27" t="s">
        <v>147</v>
      </c>
    </row>
    <row r="28" spans="1:17" x14ac:dyDescent="0.2">
      <c r="A28" s="70" t="s">
        <v>129</v>
      </c>
      <c r="B28" s="71"/>
      <c r="C28" s="95"/>
      <c r="D28" s="20" t="s">
        <v>130</v>
      </c>
      <c r="E28" s="57">
        <v>9</v>
      </c>
      <c r="F28" s="42">
        <v>31</v>
      </c>
      <c r="G28" s="41">
        <v>60</v>
      </c>
      <c r="H28" s="42" t="s">
        <v>85</v>
      </c>
      <c r="I28" s="10">
        <v>94</v>
      </c>
      <c r="J28" t="s">
        <v>147</v>
      </c>
    </row>
    <row r="29" spans="1:17" x14ac:dyDescent="0.2">
      <c r="A29" s="70" t="s">
        <v>131</v>
      </c>
      <c r="B29" s="71"/>
      <c r="C29" s="95"/>
      <c r="D29" s="20" t="s">
        <v>132</v>
      </c>
      <c r="E29" s="57">
        <v>12</v>
      </c>
      <c r="F29" s="42">
        <v>27</v>
      </c>
      <c r="G29" s="41">
        <v>61</v>
      </c>
      <c r="H29" s="42" t="s">
        <v>85</v>
      </c>
      <c r="I29" s="10">
        <v>94</v>
      </c>
      <c r="J29" t="s">
        <v>147</v>
      </c>
    </row>
    <row r="30" spans="1:17" x14ac:dyDescent="0.2">
      <c r="A30" s="70" t="s">
        <v>133</v>
      </c>
      <c r="B30" s="71"/>
      <c r="C30" s="95"/>
      <c r="D30" s="20" t="s">
        <v>134</v>
      </c>
      <c r="E30" s="57">
        <v>12</v>
      </c>
      <c r="F30" s="42">
        <v>27</v>
      </c>
      <c r="G30" s="41">
        <v>61</v>
      </c>
      <c r="H30" s="42" t="s">
        <v>85</v>
      </c>
      <c r="I30" s="10">
        <v>94</v>
      </c>
      <c r="J30" t="s">
        <v>147</v>
      </c>
    </row>
    <row r="31" spans="1:17" x14ac:dyDescent="0.2">
      <c r="A31" s="70" t="s">
        <v>135</v>
      </c>
      <c r="B31" s="71"/>
      <c r="C31" s="95"/>
      <c r="D31" s="20" t="s">
        <v>136</v>
      </c>
      <c r="E31" s="57">
        <v>18</v>
      </c>
      <c r="F31" s="42">
        <v>32</v>
      </c>
      <c r="G31" s="41">
        <v>50</v>
      </c>
      <c r="H31" s="42" t="s">
        <v>85</v>
      </c>
      <c r="I31" s="10">
        <v>98</v>
      </c>
      <c r="J31" t="s">
        <v>147</v>
      </c>
    </row>
    <row r="32" spans="1:17" x14ac:dyDescent="0.2">
      <c r="A32" s="70" t="s">
        <v>137</v>
      </c>
      <c r="B32" s="71"/>
      <c r="C32" s="95"/>
      <c r="D32" s="20" t="s">
        <v>138</v>
      </c>
      <c r="E32" s="57">
        <v>17</v>
      </c>
      <c r="F32" s="42">
        <v>34</v>
      </c>
      <c r="G32" s="41">
        <v>49</v>
      </c>
      <c r="H32" s="42" t="s">
        <v>85</v>
      </c>
      <c r="I32" s="10">
        <v>98</v>
      </c>
      <c r="J32" t="s">
        <v>147</v>
      </c>
    </row>
    <row r="33" spans="1:10" x14ac:dyDescent="0.2">
      <c r="A33" s="70" t="s">
        <v>139</v>
      </c>
      <c r="B33" s="71"/>
      <c r="C33" s="95"/>
      <c r="D33" s="20" t="s">
        <v>140</v>
      </c>
      <c r="E33" s="57">
        <v>18</v>
      </c>
      <c r="F33" s="42">
        <v>35</v>
      </c>
      <c r="G33" s="41">
        <v>47</v>
      </c>
      <c r="H33" s="42" t="s">
        <v>85</v>
      </c>
      <c r="I33" s="10">
        <v>98</v>
      </c>
      <c r="J33" t="s">
        <v>147</v>
      </c>
    </row>
    <row r="34" spans="1:10" x14ac:dyDescent="0.2">
      <c r="A34" s="70" t="s">
        <v>141</v>
      </c>
      <c r="B34" s="71"/>
      <c r="C34" s="95"/>
      <c r="D34" s="20" t="s">
        <v>142</v>
      </c>
      <c r="E34" s="57">
        <v>12</v>
      </c>
      <c r="F34" s="42">
        <v>28</v>
      </c>
      <c r="G34" s="41">
        <v>60</v>
      </c>
      <c r="H34" s="42" t="s">
        <v>85</v>
      </c>
      <c r="I34" s="10">
        <v>96</v>
      </c>
      <c r="J34" t="s">
        <v>147</v>
      </c>
    </row>
    <row r="35" spans="1:10" x14ac:dyDescent="0.2">
      <c r="A35" s="70" t="s">
        <v>143</v>
      </c>
      <c r="B35" s="71"/>
      <c r="C35" s="95"/>
      <c r="D35" s="20" t="s">
        <v>144</v>
      </c>
      <c r="E35" s="57">
        <v>14</v>
      </c>
      <c r="F35" s="42">
        <v>26</v>
      </c>
      <c r="G35" s="41">
        <v>60</v>
      </c>
      <c r="H35" s="42" t="s">
        <v>85</v>
      </c>
      <c r="I35" s="10">
        <v>96</v>
      </c>
      <c r="J35" t="s">
        <v>147</v>
      </c>
    </row>
    <row r="36" spans="1:10" x14ac:dyDescent="0.2">
      <c r="A36" s="68" t="s">
        <v>145</v>
      </c>
      <c r="B36" s="69"/>
      <c r="C36" s="96"/>
      <c r="D36" s="24" t="s">
        <v>146</v>
      </c>
      <c r="E36" s="58">
        <v>12</v>
      </c>
      <c r="F36" s="44">
        <v>27</v>
      </c>
      <c r="G36" s="43">
        <v>61</v>
      </c>
      <c r="H36" s="44" t="s">
        <v>85</v>
      </c>
      <c r="I36" s="28">
        <v>95</v>
      </c>
      <c r="J36" t="s">
        <v>147</v>
      </c>
    </row>
    <row r="37" spans="1:10" x14ac:dyDescent="0.2">
      <c r="A37" s="79" t="s">
        <v>148</v>
      </c>
      <c r="B37" s="80"/>
      <c r="C37" s="80"/>
      <c r="D37" s="19" t="s">
        <v>149</v>
      </c>
      <c r="E37" s="56">
        <v>7</v>
      </c>
      <c r="F37" s="40">
        <v>25</v>
      </c>
      <c r="G37" s="39">
        <v>68</v>
      </c>
      <c r="H37" s="40" t="s">
        <v>85</v>
      </c>
      <c r="I37" s="40">
        <v>93</v>
      </c>
      <c r="J37" t="s">
        <v>147</v>
      </c>
    </row>
    <row r="38" spans="1:10" x14ac:dyDescent="0.2">
      <c r="A38" s="70" t="s">
        <v>150</v>
      </c>
      <c r="B38" s="71"/>
      <c r="C38" s="71"/>
      <c r="D38" s="20" t="s">
        <v>151</v>
      </c>
      <c r="E38" s="57">
        <v>9</v>
      </c>
      <c r="F38" s="42">
        <v>23</v>
      </c>
      <c r="G38" s="41">
        <v>68</v>
      </c>
      <c r="H38" s="42" t="s">
        <v>85</v>
      </c>
      <c r="I38" s="42">
        <v>93</v>
      </c>
      <c r="J38" t="s">
        <v>147</v>
      </c>
    </row>
    <row r="39" spans="1:10" x14ac:dyDescent="0.2">
      <c r="A39" s="70" t="s">
        <v>152</v>
      </c>
      <c r="B39" s="71"/>
      <c r="C39" s="71"/>
      <c r="D39" s="20" t="s">
        <v>153</v>
      </c>
      <c r="E39" s="57">
        <v>7</v>
      </c>
      <c r="F39" s="42">
        <v>27</v>
      </c>
      <c r="G39" s="41">
        <v>66</v>
      </c>
      <c r="H39" s="42" t="s">
        <v>85</v>
      </c>
      <c r="I39" s="42">
        <v>89</v>
      </c>
      <c r="J39" t="s">
        <v>147</v>
      </c>
    </row>
    <row r="40" spans="1:10" x14ac:dyDescent="0.2">
      <c r="A40" s="70" t="s">
        <v>154</v>
      </c>
      <c r="B40" s="71"/>
      <c r="C40" s="71"/>
      <c r="D40" s="20" t="s">
        <v>155</v>
      </c>
      <c r="E40" s="57">
        <v>13</v>
      </c>
      <c r="F40" s="42">
        <v>23</v>
      </c>
      <c r="G40" s="41">
        <v>64</v>
      </c>
      <c r="H40" s="42" t="s">
        <v>85</v>
      </c>
      <c r="I40" s="42">
        <v>97</v>
      </c>
      <c r="J40" t="s">
        <v>147</v>
      </c>
    </row>
    <row r="41" spans="1:10" x14ac:dyDescent="0.2">
      <c r="A41" s="70" t="s">
        <v>156</v>
      </c>
      <c r="B41" s="71"/>
      <c r="C41" s="71"/>
      <c r="D41" s="20" t="s">
        <v>157</v>
      </c>
      <c r="E41" s="57">
        <v>10</v>
      </c>
      <c r="F41" s="42">
        <v>25</v>
      </c>
      <c r="G41" s="41">
        <v>65</v>
      </c>
      <c r="H41" s="42" t="s">
        <v>85</v>
      </c>
      <c r="I41" s="42">
        <v>98</v>
      </c>
      <c r="J41" t="s">
        <v>147</v>
      </c>
    </row>
    <row r="42" spans="1:10" x14ac:dyDescent="0.2">
      <c r="A42" s="70" t="s">
        <v>158</v>
      </c>
      <c r="B42" s="71"/>
      <c r="C42" s="71"/>
      <c r="D42" s="20" t="s">
        <v>159</v>
      </c>
      <c r="E42" s="57">
        <v>10</v>
      </c>
      <c r="F42" s="42">
        <v>25</v>
      </c>
      <c r="G42" s="41">
        <v>65</v>
      </c>
      <c r="H42" s="42" t="s">
        <v>85</v>
      </c>
      <c r="I42" s="42">
        <v>96</v>
      </c>
      <c r="J42" t="s">
        <v>147</v>
      </c>
    </row>
    <row r="43" spans="1:10" x14ac:dyDescent="0.2">
      <c r="A43" s="70" t="s">
        <v>160</v>
      </c>
      <c r="B43" s="71"/>
      <c r="C43" s="71"/>
      <c r="D43" s="20" t="s">
        <v>161</v>
      </c>
      <c r="E43" s="57">
        <v>9</v>
      </c>
      <c r="F43" s="42">
        <v>28</v>
      </c>
      <c r="G43" s="41">
        <v>63</v>
      </c>
      <c r="H43" s="42" t="s">
        <v>85</v>
      </c>
      <c r="I43" s="42">
        <v>96</v>
      </c>
      <c r="J43" t="s">
        <v>147</v>
      </c>
    </row>
    <row r="44" spans="1:10" x14ac:dyDescent="0.2">
      <c r="A44" s="70" t="s">
        <v>162</v>
      </c>
      <c r="B44" s="71"/>
      <c r="C44" s="71"/>
      <c r="D44" s="20" t="s">
        <v>163</v>
      </c>
      <c r="E44" s="57">
        <v>10</v>
      </c>
      <c r="F44" s="42">
        <v>27</v>
      </c>
      <c r="G44" s="41">
        <v>63</v>
      </c>
      <c r="H44" s="42" t="s">
        <v>85</v>
      </c>
      <c r="I44" s="42">
        <v>88</v>
      </c>
      <c r="J44" t="s">
        <v>147</v>
      </c>
    </row>
    <row r="45" spans="1:10" x14ac:dyDescent="0.2">
      <c r="A45" s="70" t="s">
        <v>164</v>
      </c>
      <c r="B45" s="71"/>
      <c r="C45" s="71"/>
      <c r="D45" s="20" t="s">
        <v>165</v>
      </c>
      <c r="E45" s="57">
        <v>10</v>
      </c>
      <c r="F45" s="42">
        <v>27</v>
      </c>
      <c r="G45" s="41">
        <v>63</v>
      </c>
      <c r="H45" s="42" t="s">
        <v>85</v>
      </c>
      <c r="I45" s="42">
        <v>89</v>
      </c>
      <c r="J45" t="s">
        <v>147</v>
      </c>
    </row>
    <row r="46" spans="1:10" x14ac:dyDescent="0.2">
      <c r="A46" s="70" t="s">
        <v>166</v>
      </c>
      <c r="B46" s="71"/>
      <c r="C46" s="71"/>
      <c r="D46" s="20" t="s">
        <v>167</v>
      </c>
      <c r="E46" s="57">
        <v>14</v>
      </c>
      <c r="F46" s="42">
        <v>32</v>
      </c>
      <c r="G46" s="41">
        <v>54</v>
      </c>
      <c r="H46" s="42" t="s">
        <v>85</v>
      </c>
      <c r="I46" s="42">
        <v>97</v>
      </c>
      <c r="J46" t="s">
        <v>147</v>
      </c>
    </row>
    <row r="47" spans="1:10" x14ac:dyDescent="0.2">
      <c r="A47" s="70" t="s">
        <v>168</v>
      </c>
      <c r="B47" s="71"/>
      <c r="C47" s="71"/>
      <c r="D47" s="20" t="s">
        <v>169</v>
      </c>
      <c r="E47" s="57">
        <v>15</v>
      </c>
      <c r="F47" s="42">
        <v>31</v>
      </c>
      <c r="G47" s="41">
        <v>54</v>
      </c>
      <c r="H47" s="42" t="s">
        <v>85</v>
      </c>
      <c r="I47" s="42">
        <v>98</v>
      </c>
      <c r="J47" t="s">
        <v>147</v>
      </c>
    </row>
    <row r="48" spans="1:10" x14ac:dyDescent="0.2">
      <c r="A48" s="70" t="s">
        <v>170</v>
      </c>
      <c r="B48" s="71"/>
      <c r="C48" s="71"/>
      <c r="D48" s="20" t="s">
        <v>171</v>
      </c>
      <c r="E48" s="57">
        <v>15</v>
      </c>
      <c r="F48" s="42">
        <v>31</v>
      </c>
      <c r="G48" s="41">
        <v>54</v>
      </c>
      <c r="H48" s="42" t="s">
        <v>85</v>
      </c>
      <c r="I48" s="42">
        <v>97</v>
      </c>
      <c r="J48" t="s">
        <v>147</v>
      </c>
    </row>
    <row r="49" spans="1:10" x14ac:dyDescent="0.2">
      <c r="A49" s="70" t="s">
        <v>172</v>
      </c>
      <c r="B49" s="71"/>
      <c r="C49" s="71"/>
      <c r="D49" s="20" t="s">
        <v>173</v>
      </c>
      <c r="E49" s="57">
        <v>13</v>
      </c>
      <c r="F49" s="42">
        <v>26</v>
      </c>
      <c r="G49" s="41">
        <v>61</v>
      </c>
      <c r="H49" s="42" t="s">
        <v>85</v>
      </c>
      <c r="I49" s="42">
        <v>94</v>
      </c>
      <c r="J49" t="s">
        <v>147</v>
      </c>
    </row>
    <row r="50" spans="1:10" x14ac:dyDescent="0.2">
      <c r="A50" s="70" t="s">
        <v>174</v>
      </c>
      <c r="B50" s="71"/>
      <c r="C50" s="71"/>
      <c r="D50" s="20" t="s">
        <v>175</v>
      </c>
      <c r="E50" s="57">
        <v>13</v>
      </c>
      <c r="F50" s="42">
        <v>26</v>
      </c>
      <c r="G50" s="41">
        <v>61</v>
      </c>
      <c r="H50" s="42" t="s">
        <v>85</v>
      </c>
      <c r="I50" s="42">
        <v>97</v>
      </c>
      <c r="J50" t="s">
        <v>147</v>
      </c>
    </row>
    <row r="51" spans="1:10" x14ac:dyDescent="0.2">
      <c r="A51" s="68" t="s">
        <v>176</v>
      </c>
      <c r="B51" s="69"/>
      <c r="C51" s="69"/>
      <c r="D51" s="24" t="s">
        <v>177</v>
      </c>
      <c r="E51" s="58">
        <v>13</v>
      </c>
      <c r="F51" s="44">
        <v>27</v>
      </c>
      <c r="G51" s="43">
        <v>60</v>
      </c>
      <c r="H51" s="44" t="s">
        <v>85</v>
      </c>
      <c r="I51" s="44">
        <v>97</v>
      </c>
      <c r="J51" t="s">
        <v>147</v>
      </c>
    </row>
    <row r="52" spans="1:10" x14ac:dyDescent="0.2">
      <c r="A52" s="70" t="s">
        <v>154</v>
      </c>
      <c r="B52" s="71"/>
      <c r="C52" s="71"/>
      <c r="D52" s="20" t="s">
        <v>155</v>
      </c>
      <c r="E52" s="57">
        <v>13</v>
      </c>
      <c r="F52" s="42">
        <v>23</v>
      </c>
      <c r="G52" s="41">
        <v>64</v>
      </c>
      <c r="H52" s="42" t="s">
        <v>85</v>
      </c>
      <c r="I52" s="42">
        <v>97</v>
      </c>
      <c r="J52" t="s">
        <v>293</v>
      </c>
    </row>
    <row r="53" spans="1:10" x14ac:dyDescent="0.2">
      <c r="A53" s="70" t="s">
        <v>156</v>
      </c>
      <c r="B53" s="71"/>
      <c r="C53" s="71"/>
      <c r="D53" s="20" t="s">
        <v>157</v>
      </c>
      <c r="E53" s="57">
        <v>10</v>
      </c>
      <c r="F53" s="42">
        <v>25</v>
      </c>
      <c r="G53" s="41">
        <v>65</v>
      </c>
      <c r="H53" s="42" t="s">
        <v>85</v>
      </c>
      <c r="I53" s="42">
        <v>98</v>
      </c>
      <c r="J53" t="s">
        <v>293</v>
      </c>
    </row>
    <row r="54" spans="1:10" x14ac:dyDescent="0.2">
      <c r="A54" s="68" t="s">
        <v>158</v>
      </c>
      <c r="B54" s="69"/>
      <c r="C54" s="69"/>
      <c r="D54" s="24" t="s">
        <v>159</v>
      </c>
      <c r="E54" s="58">
        <v>10</v>
      </c>
      <c r="F54" s="44">
        <v>25</v>
      </c>
      <c r="G54" s="43">
        <v>65</v>
      </c>
      <c r="H54" s="44" t="s">
        <v>85</v>
      </c>
      <c r="I54" s="44">
        <v>96</v>
      </c>
      <c r="J54" t="s">
        <v>293</v>
      </c>
    </row>
  </sheetData>
  <mergeCells count="64">
    <mergeCell ref="A52:C52"/>
    <mergeCell ref="A53:C53"/>
    <mergeCell ref="A54:C54"/>
    <mergeCell ref="A46:C46"/>
    <mergeCell ref="A47:C47"/>
    <mergeCell ref="A48:C48"/>
    <mergeCell ref="A49:C49"/>
    <mergeCell ref="A50:C50"/>
    <mergeCell ref="A51:C51"/>
    <mergeCell ref="A45:C45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33:C33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21:C21"/>
    <mergeCell ref="B11:I11"/>
    <mergeCell ref="J11:M11"/>
    <mergeCell ref="N11:Q11"/>
    <mergeCell ref="A13:I13"/>
    <mergeCell ref="A14:C15"/>
    <mergeCell ref="H14:H15"/>
    <mergeCell ref="E15:G15"/>
    <mergeCell ref="A16:C16"/>
    <mergeCell ref="A17:C17"/>
    <mergeCell ref="A18:C18"/>
    <mergeCell ref="A19:C19"/>
    <mergeCell ref="A20:C20"/>
    <mergeCell ref="B9:I9"/>
    <mergeCell ref="J9:M9"/>
    <mergeCell ref="N9:Q9"/>
    <mergeCell ref="B10:I10"/>
    <mergeCell ref="J10:M10"/>
    <mergeCell ref="N10:Q10"/>
    <mergeCell ref="B7:I7"/>
    <mergeCell ref="J7:M7"/>
    <mergeCell ref="N7:Q7"/>
    <mergeCell ref="B8:I8"/>
    <mergeCell ref="J8:M8"/>
    <mergeCell ref="N8:Q8"/>
    <mergeCell ref="B6:Q6"/>
    <mergeCell ref="B1:Q1"/>
    <mergeCell ref="B2:Q2"/>
    <mergeCell ref="B3:Q3"/>
    <mergeCell ref="B4:Q4"/>
    <mergeCell ref="B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CD9B-C38F-4BB2-A157-D5DFF62B8FD8}">
  <dimension ref="A1:Q65"/>
  <sheetViews>
    <sheetView topLeftCell="A13" workbookViewId="0">
      <selection activeCell="G61" sqref="G61"/>
    </sheetView>
  </sheetViews>
  <sheetFormatPr baseColWidth="10" defaultRowHeight="12.75" x14ac:dyDescent="0.2"/>
  <sheetData>
    <row r="1" spans="1:17" ht="20.25" x14ac:dyDescent="0.3">
      <c r="A1" s="5" t="s">
        <v>3</v>
      </c>
      <c r="B1" s="77" t="s">
        <v>92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</row>
    <row r="2" spans="1:17" x14ac:dyDescent="0.2">
      <c r="A2" s="2" t="s">
        <v>5</v>
      </c>
      <c r="B2" s="74" t="s">
        <v>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x14ac:dyDescent="0.2">
      <c r="A3" s="2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</row>
    <row r="4" spans="1:17" ht="25.5" x14ac:dyDescent="0.2">
      <c r="A4" s="2" t="s">
        <v>7</v>
      </c>
      <c r="B4" s="72" t="s">
        <v>75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</row>
    <row r="5" spans="1:17" x14ac:dyDescent="0.2">
      <c r="A5" s="18" t="s">
        <v>9</v>
      </c>
      <c r="B5" s="78" t="s">
        <v>93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</row>
    <row r="6" spans="1:17" x14ac:dyDescent="0.2">
      <c r="A6" s="18" t="s">
        <v>11</v>
      </c>
      <c r="B6" s="72" t="s">
        <v>12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1:17" x14ac:dyDescent="0.2">
      <c r="A7" s="2"/>
      <c r="B7" s="72"/>
      <c r="C7" s="72"/>
      <c r="D7" s="72"/>
      <c r="E7" s="72"/>
      <c r="F7" s="72"/>
      <c r="G7" s="72"/>
      <c r="H7" s="72"/>
      <c r="I7" s="72"/>
      <c r="J7" s="73" t="s">
        <v>13</v>
      </c>
      <c r="K7" s="73"/>
      <c r="L7" s="73"/>
      <c r="M7" s="73"/>
      <c r="N7" s="74" t="s">
        <v>94</v>
      </c>
      <c r="O7" s="74"/>
      <c r="P7" s="74"/>
      <c r="Q7" s="74"/>
    </row>
    <row r="8" spans="1:17" ht="25.5" x14ac:dyDescent="0.2">
      <c r="A8" s="2" t="s">
        <v>15</v>
      </c>
      <c r="B8" s="72" t="s">
        <v>16</v>
      </c>
      <c r="C8" s="72"/>
      <c r="D8" s="72"/>
      <c r="E8" s="72"/>
      <c r="F8" s="72"/>
      <c r="G8" s="72"/>
      <c r="H8" s="72"/>
      <c r="I8" s="72"/>
      <c r="J8" s="73" t="s">
        <v>17</v>
      </c>
      <c r="K8" s="73"/>
      <c r="L8" s="73"/>
      <c r="M8" s="73"/>
      <c r="N8" s="74" t="s">
        <v>95</v>
      </c>
      <c r="O8" s="74"/>
      <c r="P8" s="74"/>
      <c r="Q8" s="74"/>
    </row>
    <row r="9" spans="1:17" x14ac:dyDescent="0.2">
      <c r="A9" s="2" t="s">
        <v>19</v>
      </c>
      <c r="B9" s="72" t="s">
        <v>96</v>
      </c>
      <c r="C9" s="72"/>
      <c r="D9" s="72"/>
      <c r="E9" s="72"/>
      <c r="F9" s="72"/>
      <c r="G9" s="72"/>
      <c r="H9" s="72"/>
      <c r="I9" s="72"/>
      <c r="J9" s="73" t="s">
        <v>21</v>
      </c>
      <c r="K9" s="73"/>
      <c r="L9" s="73"/>
      <c r="M9" s="73"/>
      <c r="N9" s="74" t="s">
        <v>97</v>
      </c>
      <c r="O9" s="74"/>
      <c r="P9" s="74"/>
      <c r="Q9" s="74"/>
    </row>
    <row r="10" spans="1:17" x14ac:dyDescent="0.2">
      <c r="A10" s="2"/>
      <c r="B10" s="109"/>
      <c r="C10" s="109"/>
      <c r="D10" s="109"/>
      <c r="E10" s="109"/>
      <c r="F10" s="109"/>
      <c r="G10" s="109"/>
      <c r="H10" s="109"/>
      <c r="I10" s="109"/>
      <c r="J10" s="81" t="s">
        <v>25</v>
      </c>
      <c r="K10" s="81"/>
      <c r="L10" s="81"/>
      <c r="M10" s="81"/>
      <c r="N10" s="74" t="s">
        <v>77</v>
      </c>
      <c r="O10" s="74"/>
      <c r="P10" s="74"/>
      <c r="Q10" s="74"/>
    </row>
    <row r="11" spans="1:17" x14ac:dyDescent="0.2">
      <c r="A11" s="2" t="s">
        <v>27</v>
      </c>
      <c r="B11" s="72" t="s">
        <v>98</v>
      </c>
      <c r="C11" s="72"/>
      <c r="D11" s="72"/>
      <c r="E11" s="72"/>
      <c r="F11" s="72"/>
      <c r="G11" s="72"/>
      <c r="H11" s="72"/>
      <c r="I11" s="72"/>
      <c r="J11" s="73" t="s">
        <v>29</v>
      </c>
      <c r="K11" s="73"/>
      <c r="L11" s="73"/>
      <c r="M11" s="73"/>
      <c r="N11" s="74" t="s">
        <v>78</v>
      </c>
      <c r="O11" s="74"/>
      <c r="P11" s="74"/>
      <c r="Q11" s="74"/>
    </row>
    <row r="12" spans="1:17" x14ac:dyDescent="0.2">
      <c r="A12" s="1"/>
      <c r="B12" s="1"/>
      <c r="C12" s="2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.75" x14ac:dyDescent="0.2">
      <c r="A13" s="110"/>
      <c r="B13" s="110"/>
      <c r="C13" s="110"/>
      <c r="D13" s="110"/>
      <c r="E13" s="110"/>
      <c r="F13" s="110"/>
      <c r="G13" s="110"/>
      <c r="H13" s="110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">
      <c r="A14" s="111" t="s">
        <v>35</v>
      </c>
      <c r="B14" s="111"/>
      <c r="C14" s="111"/>
      <c r="D14" s="111" t="s">
        <v>36</v>
      </c>
      <c r="E14" s="112" t="s">
        <v>99</v>
      </c>
      <c r="F14" s="113"/>
      <c r="G14" s="114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111"/>
      <c r="B15" s="111"/>
      <c r="C15" s="111"/>
      <c r="D15" s="111"/>
      <c r="E15" s="115" t="s">
        <v>100</v>
      </c>
      <c r="F15" s="115"/>
      <c r="G15" s="116" t="s">
        <v>101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111"/>
      <c r="B16" s="111"/>
      <c r="C16" s="111"/>
      <c r="D16" s="111"/>
      <c r="E16" s="115"/>
      <c r="F16" s="115"/>
      <c r="G16" s="117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11"/>
      <c r="B17" s="111"/>
      <c r="C17" s="111"/>
      <c r="D17" s="111"/>
      <c r="E17" s="46" t="s">
        <v>102</v>
      </c>
      <c r="F17" s="46" t="s">
        <v>103</v>
      </c>
      <c r="G17" s="45" t="s">
        <v>38</v>
      </c>
      <c r="H17" s="1" t="s">
        <v>72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79" t="s">
        <v>104</v>
      </c>
      <c r="B18" s="80"/>
      <c r="C18" s="80"/>
      <c r="D18" s="19" t="s">
        <v>105</v>
      </c>
      <c r="E18" s="47">
        <v>39.22</v>
      </c>
      <c r="F18" s="48">
        <v>25.47</v>
      </c>
      <c r="G18" s="49">
        <f>+E18-F18</f>
        <v>13.75</v>
      </c>
      <c r="H18" s="1" t="s">
        <v>116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70" t="s">
        <v>106</v>
      </c>
      <c r="B19" s="71"/>
      <c r="C19" s="71"/>
      <c r="D19" s="20" t="s">
        <v>107</v>
      </c>
      <c r="E19" s="50">
        <v>43.26</v>
      </c>
      <c r="F19" s="51">
        <v>26.64</v>
      </c>
      <c r="G19" s="52">
        <f t="shared" ref="G19:G23" si="0">+E19-F19</f>
        <v>16.619999999999997</v>
      </c>
      <c r="H19" s="1" t="s">
        <v>116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70" t="s">
        <v>108</v>
      </c>
      <c r="B20" s="71"/>
      <c r="C20" s="71"/>
      <c r="D20" s="20" t="s">
        <v>109</v>
      </c>
      <c r="E20" s="50">
        <v>41.16</v>
      </c>
      <c r="F20" s="51">
        <v>25.34</v>
      </c>
      <c r="G20" s="52">
        <f t="shared" si="0"/>
        <v>15.819999999999997</v>
      </c>
      <c r="H20" s="1" t="s">
        <v>116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70" t="s">
        <v>110</v>
      </c>
      <c r="B21" s="71"/>
      <c r="C21" s="71"/>
      <c r="D21" s="20" t="s">
        <v>111</v>
      </c>
      <c r="E21" s="50">
        <v>62.37</v>
      </c>
      <c r="F21" s="51">
        <v>29.86</v>
      </c>
      <c r="G21" s="52">
        <f t="shared" si="0"/>
        <v>32.51</v>
      </c>
      <c r="H21" s="1" t="s">
        <v>116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70" t="s">
        <v>112</v>
      </c>
      <c r="B22" s="71"/>
      <c r="C22" s="71"/>
      <c r="D22" s="20" t="s">
        <v>113</v>
      </c>
      <c r="E22" s="50">
        <v>60.37</v>
      </c>
      <c r="F22" s="51">
        <v>29.07</v>
      </c>
      <c r="G22" s="52">
        <f t="shared" si="0"/>
        <v>31.299999999999997</v>
      </c>
      <c r="H22" s="1" t="s">
        <v>116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68" t="s">
        <v>114</v>
      </c>
      <c r="B23" s="69"/>
      <c r="C23" s="69"/>
      <c r="D23" s="24" t="s">
        <v>115</v>
      </c>
      <c r="E23" s="53">
        <v>59.54</v>
      </c>
      <c r="F23" s="54">
        <v>31.21</v>
      </c>
      <c r="G23" s="55">
        <f t="shared" si="0"/>
        <v>28.33</v>
      </c>
      <c r="H23" s="1" t="s">
        <v>116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79" t="s">
        <v>117</v>
      </c>
      <c r="B24" s="80"/>
      <c r="C24" s="97"/>
      <c r="D24" s="19" t="s">
        <v>118</v>
      </c>
      <c r="E24" s="47">
        <v>40.42</v>
      </c>
      <c r="F24" s="48">
        <v>25.06</v>
      </c>
      <c r="G24" s="49">
        <v>15.360000000000003</v>
      </c>
      <c r="H24" t="s">
        <v>147</v>
      </c>
    </row>
    <row r="25" spans="1:17" x14ac:dyDescent="0.2">
      <c r="A25" s="70" t="s">
        <v>119</v>
      </c>
      <c r="B25" s="71"/>
      <c r="C25" s="95"/>
      <c r="D25" s="20" t="s">
        <v>120</v>
      </c>
      <c r="E25" s="50">
        <v>40.130000000000003</v>
      </c>
      <c r="F25" s="51">
        <v>25.14</v>
      </c>
      <c r="G25" s="52">
        <v>14.990000000000002</v>
      </c>
      <c r="H25" t="s">
        <v>147</v>
      </c>
    </row>
    <row r="26" spans="1:17" x14ac:dyDescent="0.2">
      <c r="A26" s="70" t="s">
        <v>121</v>
      </c>
      <c r="B26" s="71"/>
      <c r="C26" s="95"/>
      <c r="D26" s="20" t="s">
        <v>122</v>
      </c>
      <c r="E26" s="50">
        <v>44.79</v>
      </c>
      <c r="F26" s="51">
        <v>25.83</v>
      </c>
      <c r="G26" s="52">
        <v>18.96</v>
      </c>
      <c r="H26" t="s">
        <v>147</v>
      </c>
    </row>
    <row r="27" spans="1:17" x14ac:dyDescent="0.2">
      <c r="A27" s="70" t="s">
        <v>123</v>
      </c>
      <c r="B27" s="71"/>
      <c r="C27" s="95"/>
      <c r="D27" s="20" t="s">
        <v>124</v>
      </c>
      <c r="E27" s="50">
        <v>41.18</v>
      </c>
      <c r="F27" s="51">
        <v>28.77</v>
      </c>
      <c r="G27" s="52">
        <v>12.41</v>
      </c>
      <c r="H27" t="s">
        <v>147</v>
      </c>
    </row>
    <row r="28" spans="1:17" x14ac:dyDescent="0.2">
      <c r="A28" s="70" t="s">
        <v>125</v>
      </c>
      <c r="B28" s="71"/>
      <c r="C28" s="95"/>
      <c r="D28" s="20" t="s">
        <v>126</v>
      </c>
      <c r="E28" s="50">
        <v>40.86</v>
      </c>
      <c r="F28" s="51">
        <v>28.25</v>
      </c>
      <c r="G28" s="52">
        <v>12.61</v>
      </c>
      <c r="H28" t="s">
        <v>147</v>
      </c>
    </row>
    <row r="29" spans="1:17" x14ac:dyDescent="0.2">
      <c r="A29" s="70" t="s">
        <v>127</v>
      </c>
      <c r="B29" s="71"/>
      <c r="C29" s="95"/>
      <c r="D29" s="20" t="s">
        <v>128</v>
      </c>
      <c r="E29" s="50">
        <v>40.340000000000003</v>
      </c>
      <c r="F29" s="51">
        <v>28.57</v>
      </c>
      <c r="G29" s="52">
        <v>11.770000000000003</v>
      </c>
      <c r="H29" t="s">
        <v>147</v>
      </c>
    </row>
    <row r="30" spans="1:17" x14ac:dyDescent="0.2">
      <c r="A30" s="70" t="s">
        <v>129</v>
      </c>
      <c r="B30" s="71"/>
      <c r="C30" s="95"/>
      <c r="D30" s="20" t="s">
        <v>130</v>
      </c>
      <c r="E30" s="50">
        <v>36.86</v>
      </c>
      <c r="F30" s="51">
        <v>24.65</v>
      </c>
      <c r="G30" s="52">
        <v>12.21</v>
      </c>
      <c r="H30" t="s">
        <v>147</v>
      </c>
    </row>
    <row r="31" spans="1:17" x14ac:dyDescent="0.2">
      <c r="A31" s="70" t="s">
        <v>131</v>
      </c>
      <c r="B31" s="71"/>
      <c r="C31" s="95"/>
      <c r="D31" s="20" t="s">
        <v>132</v>
      </c>
      <c r="E31" s="50">
        <v>47.29</v>
      </c>
      <c r="F31" s="51">
        <v>24.62</v>
      </c>
      <c r="G31" s="52">
        <v>22.669999999999998</v>
      </c>
      <c r="H31" t="s">
        <v>147</v>
      </c>
    </row>
    <row r="32" spans="1:17" x14ac:dyDescent="0.2">
      <c r="A32" s="70" t="s">
        <v>133</v>
      </c>
      <c r="B32" s="71"/>
      <c r="C32" s="95"/>
      <c r="D32" s="20" t="s">
        <v>134</v>
      </c>
      <c r="E32" s="50">
        <v>34.75</v>
      </c>
      <c r="F32" s="51">
        <v>25.87</v>
      </c>
      <c r="G32" s="52">
        <v>8.879999999999999</v>
      </c>
      <c r="H32" t="s">
        <v>147</v>
      </c>
    </row>
    <row r="33" spans="1:8" x14ac:dyDescent="0.2">
      <c r="A33" s="70" t="s">
        <v>135</v>
      </c>
      <c r="B33" s="71"/>
      <c r="C33" s="95"/>
      <c r="D33" s="20" t="s">
        <v>136</v>
      </c>
      <c r="E33" s="50">
        <v>48.9</v>
      </c>
      <c r="F33" s="51">
        <v>25.24</v>
      </c>
      <c r="G33" s="52">
        <v>23.66</v>
      </c>
      <c r="H33" t="s">
        <v>147</v>
      </c>
    </row>
    <row r="34" spans="1:8" x14ac:dyDescent="0.2">
      <c r="A34" s="70" t="s">
        <v>137</v>
      </c>
      <c r="B34" s="71"/>
      <c r="C34" s="95"/>
      <c r="D34" s="20" t="s">
        <v>138</v>
      </c>
      <c r="E34" s="50">
        <v>45.52</v>
      </c>
      <c r="F34" s="51">
        <v>25.79</v>
      </c>
      <c r="G34" s="52">
        <v>19.730000000000004</v>
      </c>
      <c r="H34" t="s">
        <v>147</v>
      </c>
    </row>
    <row r="35" spans="1:8" x14ac:dyDescent="0.2">
      <c r="A35" s="70" t="s">
        <v>139</v>
      </c>
      <c r="B35" s="71"/>
      <c r="C35" s="95"/>
      <c r="D35" s="20" t="s">
        <v>140</v>
      </c>
      <c r="E35" s="50">
        <v>46.77</v>
      </c>
      <c r="F35" s="51">
        <v>25.28</v>
      </c>
      <c r="G35" s="52">
        <v>21.490000000000002</v>
      </c>
      <c r="H35" t="s">
        <v>147</v>
      </c>
    </row>
    <row r="36" spans="1:8" x14ac:dyDescent="0.2">
      <c r="A36" s="70" t="s">
        <v>141</v>
      </c>
      <c r="B36" s="71"/>
      <c r="C36" s="95"/>
      <c r="D36" s="20" t="s">
        <v>142</v>
      </c>
      <c r="E36" s="50">
        <v>41.13</v>
      </c>
      <c r="F36" s="51">
        <v>26.3</v>
      </c>
      <c r="G36" s="52">
        <v>14.830000000000002</v>
      </c>
      <c r="H36" t="s">
        <v>147</v>
      </c>
    </row>
    <row r="37" spans="1:8" x14ac:dyDescent="0.2">
      <c r="A37" s="70" t="s">
        <v>143</v>
      </c>
      <c r="B37" s="71"/>
      <c r="C37" s="95"/>
      <c r="D37" s="20" t="s">
        <v>144</v>
      </c>
      <c r="E37" s="50">
        <v>35.65</v>
      </c>
      <c r="F37" s="51">
        <v>26.57</v>
      </c>
      <c r="G37" s="52">
        <v>9.0799999999999983</v>
      </c>
      <c r="H37" t="s">
        <v>147</v>
      </c>
    </row>
    <row r="38" spans="1:8" x14ac:dyDescent="0.2">
      <c r="A38" s="68" t="s">
        <v>145</v>
      </c>
      <c r="B38" s="69"/>
      <c r="C38" s="96"/>
      <c r="D38" s="24" t="s">
        <v>146</v>
      </c>
      <c r="E38" s="53">
        <v>38.08</v>
      </c>
      <c r="F38" s="54">
        <v>25.82</v>
      </c>
      <c r="G38" s="55">
        <v>12.259999999999998</v>
      </c>
      <c r="H38" t="s">
        <v>147</v>
      </c>
    </row>
    <row r="39" spans="1:8" x14ac:dyDescent="0.2">
      <c r="A39" s="79" t="s">
        <v>148</v>
      </c>
      <c r="B39" s="80"/>
      <c r="C39" s="80"/>
      <c r="D39" s="19" t="s">
        <v>149</v>
      </c>
      <c r="E39" s="59">
        <v>40.39</v>
      </c>
      <c r="F39" s="48">
        <v>28.48</v>
      </c>
      <c r="G39" s="59">
        <v>11.91</v>
      </c>
      <c r="H39" t="s">
        <v>147</v>
      </c>
    </row>
    <row r="40" spans="1:8" x14ac:dyDescent="0.2">
      <c r="A40" s="70" t="s">
        <v>150</v>
      </c>
      <c r="B40" s="71"/>
      <c r="C40" s="71"/>
      <c r="D40" s="20" t="s">
        <v>151</v>
      </c>
      <c r="E40" s="60">
        <v>46.21</v>
      </c>
      <c r="F40" s="51">
        <v>28.35</v>
      </c>
      <c r="G40" s="60">
        <v>17.86</v>
      </c>
      <c r="H40" t="s">
        <v>147</v>
      </c>
    </row>
    <row r="41" spans="1:8" x14ac:dyDescent="0.2">
      <c r="A41" s="70" t="s">
        <v>152</v>
      </c>
      <c r="B41" s="71"/>
      <c r="C41" s="71"/>
      <c r="D41" s="20" t="s">
        <v>153</v>
      </c>
      <c r="E41" s="60">
        <v>42.05</v>
      </c>
      <c r="F41" s="51">
        <v>28.52</v>
      </c>
      <c r="G41" s="60">
        <v>13.529999999999998</v>
      </c>
      <c r="H41" t="s">
        <v>147</v>
      </c>
    </row>
    <row r="42" spans="1:8" x14ac:dyDescent="0.2">
      <c r="A42" s="70" t="s">
        <v>154</v>
      </c>
      <c r="B42" s="71"/>
      <c r="C42" s="71"/>
      <c r="D42" s="20" t="s">
        <v>155</v>
      </c>
      <c r="E42" s="60">
        <v>43.89</v>
      </c>
      <c r="F42" s="51">
        <v>28.09</v>
      </c>
      <c r="G42" s="60">
        <v>15.8</v>
      </c>
      <c r="H42" t="s">
        <v>147</v>
      </c>
    </row>
    <row r="43" spans="1:8" x14ac:dyDescent="0.2">
      <c r="A43" s="70" t="s">
        <v>156</v>
      </c>
      <c r="B43" s="71"/>
      <c r="C43" s="71"/>
      <c r="D43" s="20" t="s">
        <v>157</v>
      </c>
      <c r="E43" s="60">
        <v>44.02</v>
      </c>
      <c r="F43" s="51">
        <v>28.62</v>
      </c>
      <c r="G43" s="60">
        <v>15.400000000000002</v>
      </c>
      <c r="H43" t="s">
        <v>147</v>
      </c>
    </row>
    <row r="44" spans="1:8" x14ac:dyDescent="0.2">
      <c r="A44" s="70" t="s">
        <v>158</v>
      </c>
      <c r="B44" s="71"/>
      <c r="C44" s="71"/>
      <c r="D44" s="20" t="s">
        <v>159</v>
      </c>
      <c r="E44" s="60">
        <v>55.9</v>
      </c>
      <c r="F44" s="51">
        <v>29.69</v>
      </c>
      <c r="G44" s="60">
        <v>26.209999999999997</v>
      </c>
      <c r="H44" t="s">
        <v>147</v>
      </c>
    </row>
    <row r="45" spans="1:8" x14ac:dyDescent="0.2">
      <c r="A45" s="70" t="s">
        <v>160</v>
      </c>
      <c r="B45" s="71"/>
      <c r="C45" s="71"/>
      <c r="D45" s="20" t="s">
        <v>161</v>
      </c>
      <c r="E45" s="60">
        <v>61.05</v>
      </c>
      <c r="F45" s="51">
        <v>32.340000000000003</v>
      </c>
      <c r="G45" s="60">
        <v>28.709999999999994</v>
      </c>
      <c r="H45" t="s">
        <v>147</v>
      </c>
    </row>
    <row r="46" spans="1:8" x14ac:dyDescent="0.2">
      <c r="A46" s="70" t="s">
        <v>162</v>
      </c>
      <c r="B46" s="71"/>
      <c r="C46" s="71"/>
      <c r="D46" s="20" t="s">
        <v>163</v>
      </c>
      <c r="E46" s="60">
        <v>79.63</v>
      </c>
      <c r="F46" s="51">
        <v>32.409999999999997</v>
      </c>
      <c r="G46" s="60">
        <v>47.22</v>
      </c>
      <c r="H46" t="s">
        <v>147</v>
      </c>
    </row>
    <row r="47" spans="1:8" x14ac:dyDescent="0.2">
      <c r="A47" s="70" t="s">
        <v>164</v>
      </c>
      <c r="B47" s="71"/>
      <c r="C47" s="71"/>
      <c r="D47" s="20" t="s">
        <v>165</v>
      </c>
      <c r="E47" s="60">
        <v>66.86</v>
      </c>
      <c r="F47" s="51">
        <v>32.6</v>
      </c>
      <c r="G47" s="60">
        <v>34.26</v>
      </c>
      <c r="H47" t="s">
        <v>147</v>
      </c>
    </row>
    <row r="48" spans="1:8" x14ac:dyDescent="0.2">
      <c r="A48" s="70" t="s">
        <v>166</v>
      </c>
      <c r="B48" s="71"/>
      <c r="C48" s="71"/>
      <c r="D48" s="20" t="s">
        <v>167</v>
      </c>
      <c r="E48" s="60">
        <v>39.56</v>
      </c>
      <c r="F48" s="51">
        <v>27.72</v>
      </c>
      <c r="G48" s="60">
        <v>11.840000000000003</v>
      </c>
      <c r="H48" t="s">
        <v>147</v>
      </c>
    </row>
    <row r="49" spans="1:9" x14ac:dyDescent="0.2">
      <c r="A49" s="70" t="s">
        <v>168</v>
      </c>
      <c r="B49" s="71"/>
      <c r="C49" s="71"/>
      <c r="D49" s="20" t="s">
        <v>169</v>
      </c>
      <c r="E49" s="60">
        <v>53.06</v>
      </c>
      <c r="F49" s="51">
        <v>27.97</v>
      </c>
      <c r="G49" s="60">
        <v>25.090000000000003</v>
      </c>
      <c r="H49" t="s">
        <v>147</v>
      </c>
    </row>
    <row r="50" spans="1:9" x14ac:dyDescent="0.2">
      <c r="A50" s="70" t="s">
        <v>170</v>
      </c>
      <c r="B50" s="71"/>
      <c r="C50" s="71"/>
      <c r="D50" s="20" t="s">
        <v>171</v>
      </c>
      <c r="E50" s="60">
        <v>62.65</v>
      </c>
      <c r="F50" s="51">
        <v>27.86</v>
      </c>
      <c r="G50" s="60">
        <v>34.79</v>
      </c>
      <c r="H50" t="s">
        <v>147</v>
      </c>
    </row>
    <row r="51" spans="1:9" x14ac:dyDescent="0.2">
      <c r="A51" s="70" t="s">
        <v>172</v>
      </c>
      <c r="B51" s="71"/>
      <c r="C51" s="71"/>
      <c r="D51" s="20" t="s">
        <v>173</v>
      </c>
      <c r="E51" s="60">
        <v>85.33</v>
      </c>
      <c r="F51" s="51">
        <v>29.47</v>
      </c>
      <c r="G51" s="60">
        <v>55.86</v>
      </c>
      <c r="H51" t="s">
        <v>147</v>
      </c>
    </row>
    <row r="52" spans="1:9" x14ac:dyDescent="0.2">
      <c r="A52" s="70" t="s">
        <v>174</v>
      </c>
      <c r="B52" s="71"/>
      <c r="C52" s="71"/>
      <c r="D52" s="20" t="s">
        <v>175</v>
      </c>
      <c r="E52" s="60">
        <v>82.68</v>
      </c>
      <c r="F52" s="51">
        <v>29.56</v>
      </c>
      <c r="G52" s="60">
        <v>53.120000000000005</v>
      </c>
      <c r="H52" t="s">
        <v>147</v>
      </c>
    </row>
    <row r="53" spans="1:9" x14ac:dyDescent="0.2">
      <c r="A53" s="68" t="s">
        <v>176</v>
      </c>
      <c r="B53" s="69"/>
      <c r="C53" s="69"/>
      <c r="D53" s="24" t="s">
        <v>177</v>
      </c>
      <c r="E53" s="61">
        <v>69.33</v>
      </c>
      <c r="F53" s="54">
        <v>29.06</v>
      </c>
      <c r="G53" s="61">
        <v>40.269999999999996</v>
      </c>
      <c r="H53" t="s">
        <v>147</v>
      </c>
    </row>
    <row r="54" spans="1:9" x14ac:dyDescent="0.2">
      <c r="A54" s="70" t="s">
        <v>154</v>
      </c>
      <c r="B54" s="71"/>
      <c r="C54" s="71"/>
      <c r="D54" s="20" t="s">
        <v>155</v>
      </c>
      <c r="E54" s="60">
        <v>43.89</v>
      </c>
      <c r="F54" s="51">
        <v>28.09</v>
      </c>
      <c r="G54" s="60">
        <v>15.8</v>
      </c>
      <c r="H54" t="s">
        <v>293</v>
      </c>
    </row>
    <row r="55" spans="1:9" x14ac:dyDescent="0.2">
      <c r="A55" s="70" t="s">
        <v>156</v>
      </c>
      <c r="B55" s="71"/>
      <c r="C55" s="71"/>
      <c r="D55" s="20" t="s">
        <v>157</v>
      </c>
      <c r="E55" s="60">
        <v>44.02</v>
      </c>
      <c r="F55" s="51">
        <v>28.62</v>
      </c>
      <c r="G55" s="60">
        <v>15.400000000000002</v>
      </c>
      <c r="H55" t="s">
        <v>293</v>
      </c>
    </row>
    <row r="56" spans="1:9" x14ac:dyDescent="0.2">
      <c r="A56" s="68" t="s">
        <v>158</v>
      </c>
      <c r="B56" s="69"/>
      <c r="C56" s="69"/>
      <c r="D56" s="24" t="s">
        <v>159</v>
      </c>
      <c r="E56" s="61">
        <v>55.9</v>
      </c>
      <c r="F56" s="54">
        <v>29.69</v>
      </c>
      <c r="G56" s="61">
        <v>26.209999999999997</v>
      </c>
      <c r="H56" t="s">
        <v>293</v>
      </c>
    </row>
    <row r="59" spans="1:9" x14ac:dyDescent="0.2">
      <c r="I59" t="s">
        <v>345</v>
      </c>
    </row>
    <row r="65" spans="10:10" x14ac:dyDescent="0.2">
      <c r="J65" t="s">
        <v>345</v>
      </c>
    </row>
  </sheetData>
  <mergeCells count="66">
    <mergeCell ref="A54:C54"/>
    <mergeCell ref="A55:C55"/>
    <mergeCell ref="A56:C56"/>
    <mergeCell ref="A48:C48"/>
    <mergeCell ref="A49:C49"/>
    <mergeCell ref="A50:C50"/>
    <mergeCell ref="A51:C51"/>
    <mergeCell ref="A52:C52"/>
    <mergeCell ref="A53:C53"/>
    <mergeCell ref="A47:C47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35:C35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23:C23"/>
    <mergeCell ref="B11:I11"/>
    <mergeCell ref="J11:M11"/>
    <mergeCell ref="N11:Q11"/>
    <mergeCell ref="A13:H13"/>
    <mergeCell ref="A14:C17"/>
    <mergeCell ref="D14:D17"/>
    <mergeCell ref="E14:G14"/>
    <mergeCell ref="E15:F16"/>
    <mergeCell ref="G15:G16"/>
    <mergeCell ref="A18:C18"/>
    <mergeCell ref="A19:C19"/>
    <mergeCell ref="A20:C20"/>
    <mergeCell ref="A21:C21"/>
    <mergeCell ref="A22:C22"/>
    <mergeCell ref="B9:I9"/>
    <mergeCell ref="J9:M9"/>
    <mergeCell ref="N9:Q9"/>
    <mergeCell ref="B10:I10"/>
    <mergeCell ref="J10:M10"/>
    <mergeCell ref="N10:Q10"/>
    <mergeCell ref="B7:I7"/>
    <mergeCell ref="J7:M7"/>
    <mergeCell ref="N7:Q7"/>
    <mergeCell ref="B8:I8"/>
    <mergeCell ref="J8:M8"/>
    <mergeCell ref="N8:Q8"/>
    <mergeCell ref="B6:Q6"/>
    <mergeCell ref="B1:Q1"/>
    <mergeCell ref="B2:Q2"/>
    <mergeCell ref="B3:Q3"/>
    <mergeCell ref="B4:Q4"/>
    <mergeCell ref="B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densidad_porosidad</vt:lpstr>
      <vt:lpstr>textural</vt:lpstr>
      <vt:lpstr>retencion_humedad</vt:lpstr>
      <vt:lpstr>densidad_porosidad!Área_de_impresión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Jesús Céspedes Rivera</cp:lastModifiedBy>
  <cp:revision/>
  <dcterms:created xsi:type="dcterms:W3CDTF">2005-11-21T21:38:59Z</dcterms:created>
  <dcterms:modified xsi:type="dcterms:W3CDTF">2026-09-16T14:49:48Z</dcterms:modified>
  <cp:category/>
  <cp:contentStatus/>
</cp:coreProperties>
</file>