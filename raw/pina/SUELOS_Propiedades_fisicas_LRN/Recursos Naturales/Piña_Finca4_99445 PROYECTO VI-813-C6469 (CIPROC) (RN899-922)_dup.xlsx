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4" documentId="8_{70F59EE7-6C6F-4BD1-B38D-0216299D69AF}" xr6:coauthVersionLast="47" xr6:coauthVersionMax="47" xr10:uidLastSave="{08D8724B-67F8-4799-B27D-6E039C78C24C}"/>
  <bookViews>
    <workbookView xWindow="-120" yWindow="-120" windowWidth="24240" windowHeight="13140" xr2:uid="{00000000-000D-0000-FFFF-FFFF00000000}"/>
  </bookViews>
  <sheets>
    <sheet name="26-00914 - 26-00922" sheetId="39" r:id="rId1"/>
  </sheets>
  <definedNames>
    <definedName name="_xlnm.Print_Area" localSheetId="0">'26-00914 - 26-00922'!$A$1:$R$52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9" l="1"/>
  <c r="G25" i="39"/>
  <c r="G26" i="39"/>
  <c r="G28" i="39"/>
  <c r="G29" i="39"/>
  <c r="G30" i="39"/>
  <c r="G31" i="39"/>
  <c r="G32" i="3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<sst xmlns="http://schemas.openxmlformats.org/spreadsheetml/2006/main" count="52" uniqueCount="52">
  <si>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</si>
  <si>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</si>
  <si>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</si>
  <si>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</si>
  <si>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99445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</si>
  <si>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</si>
  <si>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</si>
  <si>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</si>
  <si>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</si>
  <si>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</si>
  <si>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</si>
  <si>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</si>
  <si>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</si>
  <si>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</si>
  <si>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</si>
  <si>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</si>
  <si>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</si>
  <si>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</si>
  <si>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</si>
  <si>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</si>
  <si>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</si>
  <si>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</si>
  <si>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11/05/2026 </t>
  </si>
  <si>
    <t>Nº DE MUESTRAS TOTAL:</t>
  </si>
  <si>
    <t>8</t>
  </si>
  <si>
    <t>CULTIVO:</t>
  </si>
  <si>
    <t>PIÑA Y BOSQUE</t>
  </si>
  <si>
    <t>PÁGINA:</t>
  </si>
  <si>
    <t>1/1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</si>
  <si>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</si>
  <si>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</si>
  <si>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</si>
  <si>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</si>
  <si>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</si>
  <si>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</si>
  <si>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</si>
  <si>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4 (SERGIO ROJAS) R 1</t>
  </si>
  <si>
    <t>RN-26-00915</t>
  </si>
  <si>
    <t>PIÑA 4 (SERGIO ROJAS) R 2</t>
  </si>
  <si>
    <t>RN-26-00916</t>
  </si>
  <si>
    <t>PIÑA 4 (SERGIO ROJAS) R 3</t>
  </si>
  <si>
    <t>RN-26-00917</t>
  </si>
  <si>
    <t>PIÑA 4 (SERGIO ROJAS) R 4</t>
  </si>
  <si>
    <t>RN-26-00918</t>
  </si>
  <si>
    <t>PIÑA 4 (SERGIO ROJAS) R 5</t>
  </si>
  <si>
    <t>RN-26-00919</t>
  </si>
  <si>
    <t>PIÑA 4 (SERGIO ROJAS) R 6</t>
  </si>
  <si>
    <t>RN-26-00920</t>
  </si>
  <si>
    <t>PIÑA 4 (SERGIO ROJAS) R 7</t>
  </si>
  <si>
    <t>RN-26-00921</t>
  </si>
  <si>
    <t>PIÑA 4 (SERGIO ROJAS) R 8</t>
  </si>
  <si>
    <t>RN-26-00922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</si>
</sst>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3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2"/>
  <sheetViews>
    <sheetView tabSelected="1" zoomScaleNormal="100" workbookViewId="0">
      <selection activeCell="M28" sqref="M2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s="10" t="e" vm="2">
        <v>#VALUE!</v>
      </c>
    </row>
    <row r="2" spans="1:17" ht="15.75">
      <c r="D2" s="27" t="s">
        <v>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7" ht="15.75">
      <c r="B3" s="4"/>
      <c r="C3" s="4"/>
      <c r="D3" s="27" t="s">
        <v>2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7" ht="14.25" customHeight="1">
      <c r="B4" s="4"/>
      <c r="C4" s="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1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4"/>
    </row>
    <row r="6" spans="1:17" ht="1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7" ht="1.5" customHeight="1"/>
    <row r="8" spans="1:17" ht="20.100000000000001" customHeight="1">
      <c r="A8" s="5" t="s">
        <v>3</v>
      </c>
      <c r="B8" s="29" t="s">
        <v>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2.75" customHeight="1">
      <c r="A9" s="2" t="s">
        <v>5</v>
      </c>
      <c r="B9" s="30" t="s">
        <v>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>
      <c r="A10" s="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ht="12.75" customHeight="1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>
      <c r="A12" s="12" t="s">
        <v>9</v>
      </c>
      <c r="B12" s="31" t="s">
        <v>10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2.75" customHeight="1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>
      <c r="A14" s="2"/>
      <c r="B14" s="26"/>
      <c r="C14" s="26"/>
      <c r="D14" s="26"/>
      <c r="E14" s="26"/>
      <c r="F14" s="26"/>
      <c r="G14" s="26"/>
      <c r="H14" s="26"/>
      <c r="I14" s="26"/>
      <c r="J14" s="38" t="s">
        <v>13</v>
      </c>
      <c r="K14" s="38"/>
      <c r="L14" s="38"/>
      <c r="M14" s="38"/>
      <c r="N14" s="30" t="s">
        <v>14</v>
      </c>
      <c r="O14" s="30"/>
      <c r="P14" s="30"/>
      <c r="Q14" s="30"/>
    </row>
    <row r="15" spans="1:17" ht="12.75" customHeight="1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38" t="s">
        <v>17</v>
      </c>
      <c r="K15" s="38"/>
      <c r="L15" s="38"/>
      <c r="M15" s="38"/>
      <c r="N15" s="30" t="s">
        <v>18</v>
      </c>
      <c r="O15" s="30"/>
      <c r="P15" s="30"/>
      <c r="Q15" s="30"/>
    </row>
    <row r="16" spans="1:17" ht="12.75" customHeight="1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38" t="s">
        <v>21</v>
      </c>
      <c r="K16" s="38"/>
      <c r="L16" s="38"/>
      <c r="M16" s="38"/>
      <c r="N16" s="30" t="s">
        <v>22</v>
      </c>
      <c r="O16" s="30"/>
      <c r="P16" s="30"/>
      <c r="Q16" s="30"/>
    </row>
    <row r="17" spans="1:17" ht="12.75" customHeight="1">
      <c r="A17" s="2"/>
      <c r="B17" s="32"/>
      <c r="C17" s="32"/>
      <c r="D17" s="32"/>
      <c r="E17" s="32"/>
      <c r="F17" s="32"/>
      <c r="G17" s="32"/>
      <c r="H17" s="32"/>
      <c r="I17" s="32"/>
      <c r="J17" s="33" t="s">
        <v>23</v>
      </c>
      <c r="K17" s="33"/>
      <c r="L17" s="33"/>
      <c r="M17" s="33"/>
      <c r="N17" s="30" t="s">
        <v>24</v>
      </c>
      <c r="O17" s="30"/>
      <c r="P17" s="30"/>
      <c r="Q17" s="30"/>
    </row>
    <row r="18" spans="1:17" ht="12.75" customHeight="1">
      <c r="A18" s="2" t="s">
        <v>25</v>
      </c>
      <c r="B18" s="26" t="s">
        <v>26</v>
      </c>
      <c r="C18" s="26"/>
      <c r="D18" s="26"/>
      <c r="E18" s="26"/>
      <c r="F18" s="26"/>
      <c r="G18" s="26"/>
      <c r="H18" s="26"/>
      <c r="I18" s="26"/>
      <c r="J18" s="38" t="s">
        <v>27</v>
      </c>
      <c r="K18" s="38"/>
      <c r="L18" s="38"/>
      <c r="M18" s="38"/>
      <c r="N18" s="30" t="s">
        <v>28</v>
      </c>
      <c r="O18" s="30"/>
      <c r="P18" s="30"/>
      <c r="Q18" s="30"/>
    </row>
    <row r="19" spans="1:17" ht="1.5" customHeight="1">
      <c r="C19" s="2"/>
    </row>
    <row r="20" spans="1:17" ht="22.5" customHeight="1">
      <c r="A20" s="34"/>
      <c r="B20" s="34"/>
      <c r="C20" s="34"/>
      <c r="D20" s="34"/>
      <c r="E20" s="34"/>
      <c r="F20" s="34"/>
      <c r="G20" s="34"/>
      <c r="H20" s="34"/>
    </row>
    <row r="21" spans="1:17" ht="15.75" customHeight="1">
      <c r="A21" s="35" t="s">
        <v>29</v>
      </c>
      <c r="B21" s="35"/>
      <c r="C21" s="35"/>
      <c r="D21" s="35" t="s">
        <v>30</v>
      </c>
      <c r="E21" s="36" t="s">
        <v>31</v>
      </c>
      <c r="F21" s="36" t="s">
        <v>32</v>
      </c>
      <c r="G21" s="36" t="s">
        <v>33</v>
      </c>
    </row>
    <row r="22" spans="1:17" ht="15" customHeight="1">
      <c r="A22" s="35"/>
      <c r="B22" s="35"/>
      <c r="C22" s="35"/>
      <c r="D22" s="35"/>
      <c r="E22" s="36"/>
      <c r="F22" s="36"/>
      <c r="G22" s="36"/>
    </row>
    <row r="23" spans="1:17" ht="15.75" customHeight="1">
      <c r="A23" s="35"/>
      <c r="B23" s="35"/>
      <c r="C23" s="35"/>
      <c r="D23" s="35"/>
      <c r="E23" s="36"/>
      <c r="F23" s="36"/>
      <c r="G23" s="36"/>
    </row>
    <row r="24" spans="1:17" ht="15.75" customHeight="1">
      <c r="A24" s="35"/>
      <c r="B24" s="35"/>
      <c r="C24" s="35"/>
      <c r="D24" s="35"/>
      <c r="E24" s="37" t="s">
        <v>34</v>
      </c>
      <c r="F24" s="37"/>
      <c r="G24" s="11" t="s">
        <v>35</v>
      </c>
    </row>
    <row r="25" spans="1:17" ht="15.95" customHeight="1">
      <c r="A25" s="22" t="s">
        <v>36</v>
      </c>
      <c r="B25" s="23"/>
      <c r="C25" s="23"/>
      <c r="D25" s="13" t="s">
        <v>37</v>
      </c>
      <c r="E25" s="14">
        <v>0.83</v>
      </c>
      <c r="F25" s="19">
        <v>2.6</v>
      </c>
      <c r="G25" s="15">
        <f t="shared" ref="G25:G32" si="0">+(1-(E25/F25))*100</f>
        <v>68.07692307692308</v>
      </c>
    </row>
    <row r="26" spans="1:17" ht="15.95" customHeight="1">
      <c r="A26" s="22" t="s">
        <v>38</v>
      </c>
      <c r="B26" s="23"/>
      <c r="C26" s="23"/>
      <c r="D26" s="13" t="s">
        <v>39</v>
      </c>
      <c r="E26" s="14">
        <v>0.91</v>
      </c>
      <c r="F26" s="19">
        <v>2.4900000000000002</v>
      </c>
      <c r="G26" s="15">
        <f t="shared" si="0"/>
        <v>63.453815261044177</v>
      </c>
    </row>
    <row r="27" spans="1:17" ht="15.95" customHeight="1">
      <c r="A27" s="22" t="s">
        <v>40</v>
      </c>
      <c r="B27" s="23"/>
      <c r="C27" s="23"/>
      <c r="D27" s="13" t="s">
        <v>41</v>
      </c>
      <c r="E27" s="14">
        <v>1</v>
      </c>
      <c r="F27" s="19">
        <v>2.4500000000000002</v>
      </c>
      <c r="G27" s="15">
        <f t="shared" si="0"/>
        <v>59.183673469387756</v>
      </c>
    </row>
    <row r="28" spans="1:17" ht="15.95" customHeight="1">
      <c r="A28" s="22" t="s">
        <v>42</v>
      </c>
      <c r="B28" s="23"/>
      <c r="C28" s="23"/>
      <c r="D28" s="13" t="s">
        <v>43</v>
      </c>
      <c r="E28" s="14">
        <v>1</v>
      </c>
      <c r="F28" s="19">
        <v>2.4700000000000002</v>
      </c>
      <c r="G28" s="15">
        <f t="shared" si="0"/>
        <v>59.514170040485823</v>
      </c>
    </row>
    <row r="29" spans="1:17" ht="15.95" customHeight="1">
      <c r="A29" s="22" t="s">
        <v>44</v>
      </c>
      <c r="B29" s="23"/>
      <c r="C29" s="23"/>
      <c r="D29" s="13" t="s">
        <v>45</v>
      </c>
      <c r="E29" s="14">
        <v>0.86</v>
      </c>
      <c r="F29" s="19">
        <v>2.4900000000000002</v>
      </c>
      <c r="G29" s="15">
        <f t="shared" si="0"/>
        <v>65.46184738955823</v>
      </c>
    </row>
    <row r="30" spans="1:17" ht="15.95" customHeight="1">
      <c r="A30" s="22" t="s">
        <v>46</v>
      </c>
      <c r="B30" s="23"/>
      <c r="C30" s="23"/>
      <c r="D30" s="13" t="s">
        <v>47</v>
      </c>
      <c r="E30" s="14">
        <v>0.9</v>
      </c>
      <c r="F30" s="19">
        <v>2.4700000000000002</v>
      </c>
      <c r="G30" s="15">
        <f t="shared" si="0"/>
        <v>63.56275303643725</v>
      </c>
    </row>
    <row r="31" spans="1:17" ht="15.95" customHeight="1">
      <c r="A31" s="22" t="s">
        <v>48</v>
      </c>
      <c r="B31" s="23"/>
      <c r="C31" s="23"/>
      <c r="D31" s="13" t="s">
        <v>49</v>
      </c>
      <c r="E31" s="14">
        <v>0.95</v>
      </c>
      <c r="F31" s="19">
        <v>2.4900000000000002</v>
      </c>
      <c r="G31" s="15">
        <f t="shared" si="0"/>
        <v>61.847389558232933</v>
      </c>
    </row>
    <row r="32" spans="1:17" ht="15.95" customHeight="1">
      <c r="A32" s="24" t="s">
        <v>50</v>
      </c>
      <c r="B32" s="25"/>
      <c r="C32" s="25"/>
      <c r="D32" s="16" t="s">
        <v>51</v>
      </c>
      <c r="E32" s="17">
        <v>0.96</v>
      </c>
      <c r="F32" s="20">
        <v>2.4700000000000002</v>
      </c>
      <c r="G32" s="18">
        <f t="shared" si="0"/>
        <v>61.133603238866407</v>
      </c>
    </row>
    <row r="33" spans="1:7" ht="15.95" customHeight="1">
      <c r="A33" s="6"/>
      <c r="B33" s="6"/>
      <c r="C33" s="6"/>
      <c r="D33" s="8"/>
    </row>
    <row r="34" spans="1:7" ht="15.75" customHeight="1">
      <c r="A34" s="6"/>
      <c r="B34" s="6"/>
      <c r="C34" s="6"/>
      <c r="D34" s="8"/>
    </row>
    <row r="35" spans="1:7" ht="15.75" customHeight="1">
      <c r="A35" s="6"/>
      <c r="B35" s="6"/>
      <c r="C35" s="6"/>
      <c r="D35" s="8"/>
    </row>
    <row r="36" spans="1:7" ht="15.95" customHeight="1">
      <c r="A36" s="6"/>
      <c r="B36" s="6"/>
      <c r="C36" s="6"/>
      <c r="D36" s="8"/>
    </row>
    <row r="37" spans="1:7" ht="15.95" customHeight="1">
      <c r="A37" s="6"/>
      <c r="B37" s="6"/>
      <c r="C37" s="6"/>
      <c r="D37" s="8"/>
    </row>
    <row r="38" spans="1:7" ht="15.95" customHeight="1">
      <c r="A38" s="6"/>
      <c r="B38" s="6"/>
      <c r="C38" s="6"/>
      <c r="D38" s="8"/>
    </row>
    <row r="39" spans="1:7" ht="15.95" customHeight="1">
      <c r="A39" s="6"/>
      <c r="B39" s="6"/>
      <c r="C39" s="6"/>
      <c r="D39" s="8"/>
    </row>
    <row r="40" spans="1:7" ht="15.95" customHeight="1">
      <c r="A40" s="6"/>
      <c r="B40" s="6"/>
      <c r="C40" s="6"/>
      <c r="D40" s="8"/>
    </row>
    <row r="41" spans="1:7" ht="15.9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B47" s="7"/>
      <c r="C47" s="7"/>
      <c r="D47" s="9"/>
    </row>
    <row r="48" spans="1:7" ht="15.75" customHeight="1">
      <c r="A48" s="21"/>
      <c r="B48" s="21"/>
      <c r="C48" s="21"/>
      <c r="D48" s="21"/>
      <c r="E48" s="21"/>
      <c r="F48" s="21"/>
      <c r="G48" s="21"/>
    </row>
    <row r="49" spans="1:18" ht="1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 ht="15">
      <c r="A50" s="7"/>
      <c r="B50" s="7"/>
      <c r="C50" s="7"/>
      <c r="D50" s="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</sheetData>
  <mergeCells count="42">
    <mergeCell ref="A25:C25"/>
    <mergeCell ref="A26:C26"/>
    <mergeCell ref="A27:C27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8:C28"/>
    <mergeCell ref="A29:C29"/>
    <mergeCell ref="A30:C30"/>
    <mergeCell ref="A31:C31"/>
    <mergeCell ref="A32:C3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8E0D9560-4485-4B67-AFD8-34FF7D4A4C80}"/>
</file>

<file path=customXml/itemProps2.xml><?xml version="1.0" encoding="utf-8"?>
<ds:datastoreItem xmlns:ds="http://schemas.openxmlformats.org/officeDocument/2006/customXml" ds:itemID="{AC0FEA08-2ED3-4FBF-B7F1-3B2090745FEF}"/>
</file>

<file path=customXml/itemProps3.xml><?xml version="1.0" encoding="utf-8"?>
<ds:datastoreItem xmlns:ds="http://schemas.openxmlformats.org/officeDocument/2006/customXml" ds:itemID="{FFBA4DE4-7009-4266-82E6-D1E7C1A2E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