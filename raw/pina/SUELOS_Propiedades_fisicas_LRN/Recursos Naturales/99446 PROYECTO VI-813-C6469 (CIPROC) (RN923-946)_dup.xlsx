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ALISIS_LRN\ANALISIS 2026\"/>
    </mc:Choice>
  </mc:AlternateContent>
  <xr:revisionPtr revIDLastSave="0" documentId="13_ncr:11_{85181667-8CEF-473A-9F75-1321ADDEE9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-00923 - 26-00937" sheetId="34" r:id="rId1"/>
    <sheet name="26-00938 - 26-00946" sheetId="39" r:id="rId2"/>
  </sheets>
  <definedNames>
    <definedName name="_xlnm.Print_Area" localSheetId="0">'26-00923 - 26-00937'!$A$1:$R$52</definedName>
    <definedName name="_xlnm.Print_Area" localSheetId="1">'26-00938 - 26-00946'!$A$1:$R$52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9" l="1"/>
  <c r="G27" i="39"/>
  <c r="G28" i="39"/>
  <c r="G29" i="39"/>
  <c r="G30" i="39"/>
  <c r="G31" i="39"/>
  <c r="G32" i="39"/>
  <c r="G33" i="39"/>
  <c r="G25" i="39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<sst xmlns="http://schemas.openxmlformats.org/spreadsheetml/2006/main" count="120" uniqueCount="85">
  <si>
    <t>CENTRO DE INVESTIGACIONES AGRONÓMICAS</t>
  </si>
  <si>
    <t>LABORATORIO DE RECURSOS NATURALES</t>
  </si>
  <si>
    <t>REPORTE DE ENSAYO</t>
  </si>
  <si>
    <t>Nº DE REPORTE:</t>
  </si>
  <si>
    <t>99446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</si>
  <si>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</si>
  <si>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</si>
  <si>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</si>
  <si>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</si>
  <si>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</si>
  <si>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</si>
  <si>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</si>
  <si>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</si>
  <si>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</si>
  <si>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</si>
  <si>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</si>
  <si>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</si>
  <si>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</si>
  <si>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</si>
  <si>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</si>
  <si>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</si>
  <si>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</si>
  <si>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20/05/2026 </t>
  </si>
  <si>
    <t>Nº DE MUESTRAS TOTAL:</t>
  </si>
  <si>
    <t>24</t>
  </si>
  <si>
    <t>CULTIVO:</t>
  </si>
  <si>
    <t>PIÑA Y BOSQUE</t>
  </si>
  <si>
    <t>PÁGINA:</t>
  </si>
  <si>
    <t>1/2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</si>
  <si>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</si>
  <si>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</si>
  <si>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</si>
  <si>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</si>
  <si>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</si>
  <si>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</si>
  <si>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</si>
  <si>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5 (SERGIO ROJAS)R 1</t>
  </si>
  <si>
    <t>RN-26-00923</t>
  </si>
  <si>
    <t>PIÑA 5 (SERGIO ROJAS)R 2</t>
  </si>
  <si>
    <t>RN-26-00924</t>
  </si>
  <si>
    <t>PIÑA 5 (SERGIO ROJAS) R 3</t>
  </si>
  <si>
    <t>RN-26-00925</t>
  </si>
  <si>
    <t>PIÑA 5 (SERGIO ROJAS) R 4</t>
  </si>
  <si>
    <t>RN-26-00926</t>
  </si>
  <si>
    <t>PIÑA 5 (SERGIO ROJAS) R 5</t>
  </si>
  <si>
    <t>RN-26-00927</t>
  </si>
  <si>
    <t>PIÑA 5 (SERGIO ROJAS) R 6</t>
  </si>
  <si>
    <t>RN-26-00928</t>
  </si>
  <si>
    <t>PIÑA 5 (SERGIO ROJAS) R 7</t>
  </si>
  <si>
    <t>RN-26-00929</t>
  </si>
  <si>
    <t>PIÑA 5 (SERGIO ROJAS) R 8</t>
  </si>
  <si>
    <t>RN-26-00930</t>
  </si>
  <si>
    <t>PIÑA 6 (MARVIN ZAMORA) R 1</t>
  </si>
  <si>
    <t>RN-26-00931</t>
  </si>
  <si>
    <t>PIÑA 6 (MARVIN ZAMORA) R 2</t>
  </si>
  <si>
    <t>RN-26-00932</t>
  </si>
  <si>
    <t>PIÑA 6 (MARVIN ZAMORA)R 3</t>
  </si>
  <si>
    <t>RN-26-00933</t>
  </si>
  <si>
    <t>PIÑA 6 (MARVIN ZAMORA)R 4</t>
  </si>
  <si>
    <t>RN-26-00934</t>
  </si>
  <si>
    <t>PIÑA 6 (MARVIN ZAMORA)R 5</t>
  </si>
  <si>
    <t>RN-26-00935</t>
  </si>
  <si>
    <t>PIÑA 6 (MARVIN ZAMORA) R 6</t>
  </si>
  <si>
    <t>RN-26-00936</t>
  </si>
  <si>
    <t>PIÑA 6 (MARVIN ZAMORA) R 7</t>
  </si>
  <si>
    <t>RN-26-00937</t>
  </si>
  <si>
    <t>2/2</t>
  </si>
  <si>
    <t>PIÑA 6 (MARVIN ZAMORA) R 8</t>
  </si>
  <si>
    <t>RN-26-00938</t>
  </si>
  <si>
    <t>PIÑA 7 (ADRIAN RODRIGRUEZ) R 1</t>
  </si>
  <si>
    <t>RN-26-00939</t>
  </si>
  <si>
    <t>PIÑA 7 (ADRIAN RODRIGRUEZ)R 2</t>
  </si>
  <si>
    <t>RN-26-00940</t>
  </si>
  <si>
    <t>PIÑA 7 (ADRIAN RODRIGRUEZ)R 3</t>
  </si>
  <si>
    <t>RN-26-00941</t>
  </si>
  <si>
    <t>PIÑA 7 (ADRIAN RODRIGRUEZ)R 4</t>
  </si>
  <si>
    <t>RN-26-00942</t>
  </si>
  <si>
    <t>PIÑA 7 (ADRIAN RODRIGRUEZ)R 5</t>
  </si>
  <si>
    <t>RN-26-00943</t>
  </si>
  <si>
    <t>PIÑA 7 (ADRIAN RODRIGRUEZ)R 6</t>
  </si>
  <si>
    <t>RN-26-00944</t>
  </si>
  <si>
    <t>PIÑA 7 (ADRIAN RODRIGRUEZ) R 7</t>
  </si>
  <si>
    <t>RN-26-00945</t>
  </si>
  <si>
    <t>PIÑA 7 (ADRIAN RODRIGRUEZ) R 8</t>
  </si>
  <si>
    <t>RN-26-00946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</si>
</sst>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5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4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abSelected="1" zoomScaleNormal="100" workbookViewId="0">
      <selection activeCell="B8" sqref="B8:Q8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36" t="s">
        <v>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Q1" s="10" t="e" vm="2">
        <v>#VALUE!</v>
      </c>
    </row>
    <row r="2" spans="1:17" ht="15.75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7" ht="15.75">
      <c r="B3" s="4"/>
      <c r="C3" s="4"/>
      <c r="D3" s="36" t="s">
        <v>2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7" ht="14.25" customHeight="1">
      <c r="B4" s="4"/>
      <c r="C4" s="4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7" ht="1.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4"/>
    </row>
    <row r="6" spans="1:17" ht="1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7" ht="1.5" customHeight="1"/>
    <row r="8" spans="1:17" ht="20.100000000000001" customHeight="1">
      <c r="A8" s="5" t="s">
        <v>3</v>
      </c>
      <c r="B8" s="38" t="s">
        <v>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17" ht="12.75" customHeight="1">
      <c r="A9" s="2" t="s">
        <v>5</v>
      </c>
      <c r="B9" s="39" t="s">
        <v>6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>
      <c r="A10" s="2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2.75" customHeight="1">
      <c r="A11" s="2" t="s">
        <v>7</v>
      </c>
      <c r="B11" s="35" t="s">
        <v>8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ht="12.75" customHeight="1">
      <c r="A12" s="12" t="s">
        <v>9</v>
      </c>
      <c r="B12" s="40" t="s">
        <v>10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spans="1:17" ht="12.75" customHeight="1">
      <c r="A13" s="12" t="s">
        <v>11</v>
      </c>
      <c r="B13" s="35" t="s">
        <v>12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>
      <c r="A14" s="2"/>
      <c r="B14" s="35"/>
      <c r="C14" s="35"/>
      <c r="D14" s="35"/>
      <c r="E14" s="35"/>
      <c r="F14" s="35"/>
      <c r="G14" s="35"/>
      <c r="H14" s="35"/>
      <c r="I14" s="35"/>
      <c r="J14" s="50" t="s">
        <v>13</v>
      </c>
      <c r="K14" s="50"/>
      <c r="L14" s="50"/>
      <c r="M14" s="50"/>
      <c r="N14" s="39" t="s">
        <v>14</v>
      </c>
      <c r="O14" s="39"/>
      <c r="P14" s="39"/>
      <c r="Q14" s="39"/>
    </row>
    <row r="15" spans="1:17" ht="12.75" customHeight="1">
      <c r="A15" s="2" t="s">
        <v>15</v>
      </c>
      <c r="B15" s="35" t="s">
        <v>16</v>
      </c>
      <c r="C15" s="35"/>
      <c r="D15" s="35"/>
      <c r="E15" s="35"/>
      <c r="F15" s="35"/>
      <c r="G15" s="35"/>
      <c r="H15" s="35"/>
      <c r="I15" s="35"/>
      <c r="J15" s="50" t="s">
        <v>17</v>
      </c>
      <c r="K15" s="50"/>
      <c r="L15" s="50"/>
      <c r="M15" s="50"/>
      <c r="N15" s="39" t="s">
        <v>18</v>
      </c>
      <c r="O15" s="39"/>
      <c r="P15" s="39"/>
      <c r="Q15" s="39"/>
    </row>
    <row r="16" spans="1:17" ht="12.75" customHeight="1">
      <c r="A16" s="2" t="s">
        <v>19</v>
      </c>
      <c r="B16" s="35" t="s">
        <v>20</v>
      </c>
      <c r="C16" s="35"/>
      <c r="D16" s="35"/>
      <c r="E16" s="35"/>
      <c r="F16" s="35"/>
      <c r="G16" s="35"/>
      <c r="H16" s="35"/>
      <c r="I16" s="35"/>
      <c r="J16" s="50" t="s">
        <v>21</v>
      </c>
      <c r="K16" s="50"/>
      <c r="L16" s="50"/>
      <c r="M16" s="50"/>
      <c r="N16" s="39" t="s">
        <v>22</v>
      </c>
      <c r="O16" s="39"/>
      <c r="P16" s="39"/>
      <c r="Q16" s="39"/>
    </row>
    <row r="17" spans="1:17" ht="12.75" customHeight="1">
      <c r="A17" s="2"/>
      <c r="B17" s="41"/>
      <c r="C17" s="41"/>
      <c r="D17" s="41"/>
      <c r="E17" s="41"/>
      <c r="F17" s="41"/>
      <c r="G17" s="41"/>
      <c r="H17" s="41"/>
      <c r="I17" s="41"/>
      <c r="J17" s="42" t="s">
        <v>23</v>
      </c>
      <c r="K17" s="42"/>
      <c r="L17" s="42"/>
      <c r="M17" s="42"/>
      <c r="N17" s="39" t="s">
        <v>24</v>
      </c>
      <c r="O17" s="39"/>
      <c r="P17" s="39"/>
      <c r="Q17" s="39"/>
    </row>
    <row r="18" spans="1:17" ht="12.75" customHeight="1">
      <c r="A18" s="2" t="s">
        <v>25</v>
      </c>
      <c r="B18" s="35" t="s">
        <v>26</v>
      </c>
      <c r="C18" s="35"/>
      <c r="D18" s="35"/>
      <c r="E18" s="35"/>
      <c r="F18" s="35"/>
      <c r="G18" s="35"/>
      <c r="H18" s="35"/>
      <c r="I18" s="35"/>
      <c r="J18" s="50" t="s">
        <v>27</v>
      </c>
      <c r="K18" s="50"/>
      <c r="L18" s="50"/>
      <c r="M18" s="50"/>
      <c r="N18" s="39" t="s">
        <v>28</v>
      </c>
      <c r="O18" s="39"/>
      <c r="P18" s="39"/>
      <c r="Q18" s="39"/>
    </row>
    <row r="19" spans="1:17" ht="1.5" customHeight="1">
      <c r="C19" s="2"/>
    </row>
    <row r="20" spans="1:17" ht="22.5" customHeight="1">
      <c r="A20" s="44"/>
      <c r="B20" s="44"/>
      <c r="C20" s="44"/>
      <c r="D20" s="44"/>
      <c r="E20" s="44"/>
      <c r="F20" s="44"/>
      <c r="G20" s="44"/>
      <c r="H20" s="44"/>
    </row>
    <row r="21" spans="1:17" ht="15.75" customHeight="1">
      <c r="A21" s="47" t="s">
        <v>29</v>
      </c>
      <c r="B21" s="47"/>
      <c r="C21" s="47"/>
      <c r="D21" s="47" t="s">
        <v>30</v>
      </c>
      <c r="E21" s="45" t="s">
        <v>31</v>
      </c>
      <c r="F21" s="45" t="s">
        <v>32</v>
      </c>
      <c r="G21" s="45" t="s">
        <v>33</v>
      </c>
    </row>
    <row r="22" spans="1:17" ht="15" customHeight="1">
      <c r="A22" s="47"/>
      <c r="B22" s="47"/>
      <c r="C22" s="47"/>
      <c r="D22" s="47"/>
      <c r="E22" s="45"/>
      <c r="F22" s="45"/>
      <c r="G22" s="45"/>
    </row>
    <row r="23" spans="1:17" ht="15.75" customHeight="1">
      <c r="A23" s="47"/>
      <c r="B23" s="47"/>
      <c r="C23" s="47"/>
      <c r="D23" s="47"/>
      <c r="E23" s="45"/>
      <c r="F23" s="45"/>
      <c r="G23" s="45"/>
    </row>
    <row r="24" spans="1:17" ht="15.75" customHeight="1">
      <c r="A24" s="47"/>
      <c r="B24" s="47"/>
      <c r="C24" s="47"/>
      <c r="D24" s="47"/>
      <c r="E24" s="46" t="s">
        <v>34</v>
      </c>
      <c r="F24" s="46"/>
      <c r="G24" s="11" t="s">
        <v>35</v>
      </c>
    </row>
    <row r="25" spans="1:17" ht="15.95" customHeight="1">
      <c r="A25" s="48" t="s">
        <v>36</v>
      </c>
      <c r="B25" s="49"/>
      <c r="C25" s="49"/>
      <c r="D25" s="13" t="s">
        <v>37</v>
      </c>
      <c r="E25" s="15">
        <v>0.92</v>
      </c>
      <c r="F25" s="25">
        <v>2.6</v>
      </c>
      <c r="G25" s="17">
        <f>+(1-(E25/F25))*100</f>
        <v>64.615384615384613</v>
      </c>
    </row>
    <row r="26" spans="1:17" ht="15.95" customHeight="1">
      <c r="A26" s="33" t="s">
        <v>38</v>
      </c>
      <c r="B26" s="34"/>
      <c r="C26" s="34"/>
      <c r="D26" s="14" t="s">
        <v>39</v>
      </c>
      <c r="E26" s="18">
        <v>0.94</v>
      </c>
      <c r="F26" s="26">
        <v>2.61</v>
      </c>
      <c r="G26" s="20">
        <f t="shared" ref="G26:G39" si="0">+(1-(E26/F26))*100</f>
        <v>63.984674329501921</v>
      </c>
    </row>
    <row r="27" spans="1:17" ht="15.95" customHeight="1">
      <c r="A27" s="33" t="s">
        <v>40</v>
      </c>
      <c r="B27" s="34"/>
      <c r="C27" s="34"/>
      <c r="D27" s="14" t="s">
        <v>41</v>
      </c>
      <c r="E27" s="18">
        <v>0.85</v>
      </c>
      <c r="F27" s="26">
        <v>2.62</v>
      </c>
      <c r="G27" s="20">
        <f t="shared" si="0"/>
        <v>67.55725190839695</v>
      </c>
    </row>
    <row r="28" spans="1:17" ht="15.95" customHeight="1">
      <c r="A28" s="33" t="s">
        <v>42</v>
      </c>
      <c r="B28" s="34"/>
      <c r="C28" s="34"/>
      <c r="D28" s="14" t="s">
        <v>43</v>
      </c>
      <c r="E28" s="18">
        <v>0.86</v>
      </c>
      <c r="F28" s="26">
        <v>2.62</v>
      </c>
      <c r="G28" s="20">
        <f t="shared" si="0"/>
        <v>67.175572519083971</v>
      </c>
    </row>
    <row r="29" spans="1:17" ht="15.95" customHeight="1">
      <c r="A29" s="33" t="s">
        <v>44</v>
      </c>
      <c r="B29" s="34"/>
      <c r="C29" s="34"/>
      <c r="D29" s="14" t="s">
        <v>45</v>
      </c>
      <c r="E29" s="18">
        <v>0.82</v>
      </c>
      <c r="F29" s="26">
        <v>2.56</v>
      </c>
      <c r="G29" s="20">
        <f t="shared" si="0"/>
        <v>67.96875</v>
      </c>
    </row>
    <row r="30" spans="1:17" ht="15.95" customHeight="1">
      <c r="A30" s="33" t="s">
        <v>46</v>
      </c>
      <c r="B30" s="34"/>
      <c r="C30" s="34"/>
      <c r="D30" s="14" t="s">
        <v>47</v>
      </c>
      <c r="E30" s="18">
        <v>0.84</v>
      </c>
      <c r="F30" s="26">
        <v>2.62</v>
      </c>
      <c r="G30" s="20">
        <f t="shared" si="0"/>
        <v>67.938931297709928</v>
      </c>
    </row>
    <row r="31" spans="1:17" ht="15.95" customHeight="1">
      <c r="A31" s="33" t="s">
        <v>48</v>
      </c>
      <c r="B31" s="34"/>
      <c r="C31" s="34"/>
      <c r="D31" s="14" t="s">
        <v>49</v>
      </c>
      <c r="E31" s="18">
        <v>0.89</v>
      </c>
      <c r="F31" s="26">
        <v>2.6</v>
      </c>
      <c r="G31" s="20">
        <f t="shared" si="0"/>
        <v>65.769230769230774</v>
      </c>
    </row>
    <row r="32" spans="1:17" ht="15.95" customHeight="1">
      <c r="A32" s="33" t="s">
        <v>50</v>
      </c>
      <c r="B32" s="34"/>
      <c r="C32" s="34"/>
      <c r="D32" s="14" t="s">
        <v>51</v>
      </c>
      <c r="E32" s="18">
        <v>0.88</v>
      </c>
      <c r="F32" s="26">
        <v>2.62</v>
      </c>
      <c r="G32" s="20">
        <f t="shared" si="0"/>
        <v>66.412213740458014</v>
      </c>
    </row>
    <row r="33" spans="1:7" ht="15.95" customHeight="1">
      <c r="A33" s="33" t="s">
        <v>52</v>
      </c>
      <c r="B33" s="34"/>
      <c r="C33" s="34"/>
      <c r="D33" s="14" t="s">
        <v>53</v>
      </c>
      <c r="E33" s="18">
        <v>0.96</v>
      </c>
      <c r="F33" s="26">
        <v>2.39</v>
      </c>
      <c r="G33" s="20">
        <f t="shared" si="0"/>
        <v>59.832635983263607</v>
      </c>
    </row>
    <row r="34" spans="1:7" ht="15.95" customHeight="1">
      <c r="A34" s="33" t="s">
        <v>54</v>
      </c>
      <c r="B34" s="34"/>
      <c r="C34" s="34"/>
      <c r="D34" s="14" t="s">
        <v>55</v>
      </c>
      <c r="E34" s="18">
        <v>1.1000000000000001</v>
      </c>
      <c r="F34" s="26">
        <v>2.4300000000000002</v>
      </c>
      <c r="G34" s="20">
        <f t="shared" si="0"/>
        <v>54.732510288065853</v>
      </c>
    </row>
    <row r="35" spans="1:7" ht="15.95" customHeight="1">
      <c r="A35" s="33" t="s">
        <v>56</v>
      </c>
      <c r="B35" s="34"/>
      <c r="C35" s="34"/>
      <c r="D35" s="14" t="s">
        <v>57</v>
      </c>
      <c r="E35" s="18">
        <v>0.9</v>
      </c>
      <c r="F35" s="26">
        <v>2.44</v>
      </c>
      <c r="G35" s="20">
        <f t="shared" si="0"/>
        <v>63.114754098360649</v>
      </c>
    </row>
    <row r="36" spans="1:7" ht="15.95" customHeight="1">
      <c r="A36" s="33" t="s">
        <v>58</v>
      </c>
      <c r="B36" s="34"/>
      <c r="C36" s="34"/>
      <c r="D36" s="14" t="s">
        <v>59</v>
      </c>
      <c r="E36" s="18">
        <v>1</v>
      </c>
      <c r="F36" s="26">
        <v>2.4500000000000002</v>
      </c>
      <c r="G36" s="20">
        <f t="shared" si="0"/>
        <v>59.183673469387756</v>
      </c>
    </row>
    <row r="37" spans="1:7" ht="15.95" customHeight="1">
      <c r="A37" s="33" t="s">
        <v>60</v>
      </c>
      <c r="B37" s="34"/>
      <c r="C37" s="34"/>
      <c r="D37" s="14" t="s">
        <v>61</v>
      </c>
      <c r="E37" s="18">
        <v>1.08</v>
      </c>
      <c r="F37" s="26">
        <v>2.39</v>
      </c>
      <c r="G37" s="20">
        <f t="shared" si="0"/>
        <v>54.811715481171539</v>
      </c>
    </row>
    <row r="38" spans="1:7" ht="15.95" customHeight="1">
      <c r="A38" s="33" t="s">
        <v>62</v>
      </c>
      <c r="B38" s="34"/>
      <c r="C38" s="34"/>
      <c r="D38" s="14" t="s">
        <v>63</v>
      </c>
      <c r="E38" s="18">
        <v>0.9</v>
      </c>
      <c r="F38" s="26">
        <v>2.44</v>
      </c>
      <c r="G38" s="20">
        <f t="shared" si="0"/>
        <v>63.114754098360649</v>
      </c>
    </row>
    <row r="39" spans="1:7" ht="15.95" customHeight="1">
      <c r="A39" s="31" t="s">
        <v>64</v>
      </c>
      <c r="B39" s="32"/>
      <c r="C39" s="32"/>
      <c r="D39" s="24" t="s">
        <v>65</v>
      </c>
      <c r="E39" s="21">
        <v>0.89</v>
      </c>
      <c r="F39" s="27">
        <v>2.44</v>
      </c>
      <c r="G39" s="23">
        <f t="shared" si="0"/>
        <v>63.524590163934427</v>
      </c>
    </row>
    <row r="40" spans="1:7" ht="15.75" customHeight="1">
      <c r="A40" s="6"/>
      <c r="B40" s="6"/>
      <c r="C40" s="6"/>
      <c r="D40" s="8"/>
    </row>
    <row r="41" spans="1:7" ht="15.75" customHeight="1">
      <c r="A41" s="6"/>
      <c r="B41" s="6"/>
      <c r="C41" s="6"/>
      <c r="D41" s="8"/>
    </row>
    <row r="42" spans="1:7" ht="15.75" customHeight="1">
      <c r="A42" s="6"/>
      <c r="B42" s="6"/>
      <c r="C42" s="6"/>
      <c r="D42" s="8"/>
    </row>
    <row r="43" spans="1:7" ht="15.75" customHeight="1">
      <c r="A43" s="6"/>
      <c r="B43" s="6"/>
      <c r="C43" s="6"/>
      <c r="D43" s="8"/>
    </row>
    <row r="44" spans="1:7" ht="15.75" customHeight="1">
      <c r="A44" s="6"/>
      <c r="B44" s="6"/>
      <c r="C44" s="6"/>
      <c r="D44" s="8"/>
    </row>
    <row r="45" spans="1:7" ht="15.75" customHeight="1">
      <c r="A45" s="6"/>
      <c r="B45" s="6"/>
      <c r="C45" s="6"/>
      <c r="D45" s="8"/>
    </row>
    <row r="46" spans="1:7" ht="15.75" customHeight="1">
      <c r="A46" s="6"/>
      <c r="B46" s="6"/>
      <c r="C46" s="6"/>
      <c r="D46" s="8"/>
    </row>
    <row r="47" spans="1:7" ht="15.75" customHeight="1">
      <c r="A47" s="6"/>
      <c r="B47" s="6"/>
      <c r="C47" s="6"/>
      <c r="D47" s="8"/>
    </row>
    <row r="48" spans="1:7" ht="15.75" customHeight="1">
      <c r="B48" s="7"/>
      <c r="C48" s="7"/>
      <c r="D48" s="9"/>
    </row>
    <row r="49" spans="1:18" ht="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spans="1:18" ht="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  <row r="63" spans="1:18">
      <c r="A63" s="7"/>
      <c r="B63" s="7"/>
      <c r="C63" s="7"/>
      <c r="D63" s="9"/>
    </row>
  </sheetData>
  <mergeCells count="51">
    <mergeCell ref="A49:R49"/>
    <mergeCell ref="A50:R50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9:C29"/>
    <mergeCell ref="A30:C30"/>
    <mergeCell ref="A31:C31"/>
    <mergeCell ref="A32:C32"/>
    <mergeCell ref="A33:C33"/>
    <mergeCell ref="A39:C39"/>
    <mergeCell ref="A34:C34"/>
    <mergeCell ref="A35:C35"/>
    <mergeCell ref="A36:C36"/>
    <mergeCell ref="A37:C37"/>
    <mergeCell ref="A38:C3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3"/>
  <sheetViews>
    <sheetView topLeftCell="A2" zoomScaleNormal="100" workbookViewId="0">
      <selection activeCell="P35" sqref="P35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36" t="s">
        <v>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Q1" s="10" t="e" vm="2">
        <v>#VALUE!</v>
      </c>
    </row>
    <row r="2" spans="1:17" ht="15.75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7" ht="15.75">
      <c r="B3" s="4"/>
      <c r="C3" s="4"/>
      <c r="D3" s="36" t="s">
        <v>2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7" ht="14.25" customHeight="1">
      <c r="B4" s="4"/>
      <c r="C4" s="4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7" ht="1.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4"/>
    </row>
    <row r="6" spans="1:17" ht="1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7" ht="1.5" customHeight="1"/>
    <row r="8" spans="1:17" ht="20.100000000000001" customHeight="1">
      <c r="A8" s="5" t="s">
        <v>3</v>
      </c>
      <c r="B8" s="38" t="s">
        <v>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17" ht="12.75" customHeight="1">
      <c r="A9" s="2" t="s">
        <v>5</v>
      </c>
      <c r="B9" s="39" t="s">
        <v>6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>
      <c r="A10" s="2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2.75" customHeight="1">
      <c r="A11" s="2" t="s">
        <v>7</v>
      </c>
      <c r="B11" s="35" t="s">
        <v>8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ht="12.75" customHeight="1">
      <c r="A12" s="12" t="s">
        <v>9</v>
      </c>
      <c r="B12" s="40" t="s">
        <v>10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spans="1:17" ht="12.75" customHeight="1">
      <c r="A13" s="12" t="s">
        <v>11</v>
      </c>
      <c r="B13" s="35" t="s">
        <v>12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>
      <c r="A14" s="2"/>
      <c r="B14" s="35"/>
      <c r="C14" s="35"/>
      <c r="D14" s="35"/>
      <c r="E14" s="35"/>
      <c r="F14" s="35"/>
      <c r="G14" s="35"/>
      <c r="H14" s="35"/>
      <c r="I14" s="35"/>
      <c r="J14" s="50" t="s">
        <v>13</v>
      </c>
      <c r="K14" s="50"/>
      <c r="L14" s="50"/>
      <c r="M14" s="50"/>
      <c r="N14" s="39" t="s">
        <v>14</v>
      </c>
      <c r="O14" s="39"/>
      <c r="P14" s="39"/>
      <c r="Q14" s="39"/>
    </row>
    <row r="15" spans="1:17" ht="12.75" customHeight="1">
      <c r="A15" s="2" t="s">
        <v>15</v>
      </c>
      <c r="B15" s="35" t="s">
        <v>16</v>
      </c>
      <c r="C15" s="35"/>
      <c r="D15" s="35"/>
      <c r="E15" s="35"/>
      <c r="F15" s="35"/>
      <c r="G15" s="35"/>
      <c r="H15" s="35"/>
      <c r="I15" s="35"/>
      <c r="J15" s="50" t="s">
        <v>17</v>
      </c>
      <c r="K15" s="50"/>
      <c r="L15" s="50"/>
      <c r="M15" s="50"/>
      <c r="N15" s="39" t="s">
        <v>18</v>
      </c>
      <c r="O15" s="39"/>
      <c r="P15" s="39"/>
      <c r="Q15" s="39"/>
    </row>
    <row r="16" spans="1:17" ht="12.75" customHeight="1">
      <c r="A16" s="2" t="s">
        <v>19</v>
      </c>
      <c r="B16" s="35" t="s">
        <v>20</v>
      </c>
      <c r="C16" s="35"/>
      <c r="D16" s="35"/>
      <c r="E16" s="35"/>
      <c r="F16" s="35"/>
      <c r="G16" s="35"/>
      <c r="H16" s="35"/>
      <c r="I16" s="35"/>
      <c r="J16" s="50" t="s">
        <v>21</v>
      </c>
      <c r="K16" s="50"/>
      <c r="L16" s="50"/>
      <c r="M16" s="50"/>
      <c r="N16" s="39" t="s">
        <v>22</v>
      </c>
      <c r="O16" s="39"/>
      <c r="P16" s="39"/>
      <c r="Q16" s="39"/>
    </row>
    <row r="17" spans="1:17" ht="12.75" customHeight="1">
      <c r="A17" s="2"/>
      <c r="B17" s="41"/>
      <c r="C17" s="41"/>
      <c r="D17" s="41"/>
      <c r="E17" s="41"/>
      <c r="F17" s="41"/>
      <c r="G17" s="41"/>
      <c r="H17" s="41"/>
      <c r="I17" s="41"/>
      <c r="J17" s="42" t="s">
        <v>23</v>
      </c>
      <c r="K17" s="42"/>
      <c r="L17" s="42"/>
      <c r="M17" s="42"/>
      <c r="N17" s="39" t="s">
        <v>24</v>
      </c>
      <c r="O17" s="39"/>
      <c r="P17" s="39"/>
      <c r="Q17" s="39"/>
    </row>
    <row r="18" spans="1:17" ht="12.75" customHeight="1">
      <c r="A18" s="2" t="s">
        <v>25</v>
      </c>
      <c r="B18" s="35" t="s">
        <v>26</v>
      </c>
      <c r="C18" s="35"/>
      <c r="D18" s="35"/>
      <c r="E18" s="35"/>
      <c r="F18" s="35"/>
      <c r="G18" s="35"/>
      <c r="H18" s="35"/>
      <c r="I18" s="35"/>
      <c r="J18" s="50" t="s">
        <v>27</v>
      </c>
      <c r="K18" s="50"/>
      <c r="L18" s="50"/>
      <c r="M18" s="50"/>
      <c r="N18" s="39" t="s">
        <v>66</v>
      </c>
      <c r="O18" s="39"/>
      <c r="P18" s="39"/>
      <c r="Q18" s="39"/>
    </row>
    <row r="19" spans="1:17" ht="1.5" customHeight="1">
      <c r="C19" s="2"/>
    </row>
    <row r="20" spans="1:17" ht="22.5" customHeight="1">
      <c r="A20" s="44"/>
      <c r="B20" s="44"/>
      <c r="C20" s="44"/>
      <c r="D20" s="44"/>
      <c r="E20" s="44"/>
      <c r="F20" s="44"/>
      <c r="G20" s="44"/>
      <c r="H20" s="44"/>
    </row>
    <row r="21" spans="1:17" ht="15.75" customHeight="1">
      <c r="A21" s="47" t="s">
        <v>29</v>
      </c>
      <c r="B21" s="47"/>
      <c r="C21" s="47"/>
      <c r="D21" s="47" t="s">
        <v>30</v>
      </c>
      <c r="E21" s="45" t="s">
        <v>31</v>
      </c>
      <c r="F21" s="45" t="s">
        <v>32</v>
      </c>
      <c r="G21" s="45" t="s">
        <v>33</v>
      </c>
    </row>
    <row r="22" spans="1:17" ht="15" customHeight="1">
      <c r="A22" s="47"/>
      <c r="B22" s="47"/>
      <c r="C22" s="47"/>
      <c r="D22" s="47"/>
      <c r="E22" s="45"/>
      <c r="F22" s="45"/>
      <c r="G22" s="45"/>
    </row>
    <row r="23" spans="1:17" ht="15.75" customHeight="1">
      <c r="A23" s="47"/>
      <c r="B23" s="47"/>
      <c r="C23" s="47"/>
      <c r="D23" s="47"/>
      <c r="E23" s="45"/>
      <c r="F23" s="45"/>
      <c r="G23" s="45"/>
    </row>
    <row r="24" spans="1:17" ht="15.75" customHeight="1">
      <c r="A24" s="47"/>
      <c r="B24" s="47"/>
      <c r="C24" s="47"/>
      <c r="D24" s="47"/>
      <c r="E24" s="46" t="s">
        <v>34</v>
      </c>
      <c r="F24" s="46"/>
      <c r="G24" s="11" t="s">
        <v>35</v>
      </c>
    </row>
    <row r="25" spans="1:17" ht="15.95" customHeight="1">
      <c r="A25" s="48" t="s">
        <v>67</v>
      </c>
      <c r="B25" s="49"/>
      <c r="C25" s="49"/>
      <c r="D25" s="13" t="s">
        <v>68</v>
      </c>
      <c r="E25" s="16">
        <v>0.9</v>
      </c>
      <c r="F25" s="25">
        <v>2.4500000000000002</v>
      </c>
      <c r="G25" s="28">
        <f t="shared" ref="G25:G33" si="0">+(1-(E25/F25))*100</f>
        <v>63.265306122448983</v>
      </c>
    </row>
    <row r="26" spans="1:17" ht="15.95" customHeight="1">
      <c r="A26" s="33" t="s">
        <v>69</v>
      </c>
      <c r="B26" s="34"/>
      <c r="C26" s="34"/>
      <c r="D26" s="14" t="s">
        <v>70</v>
      </c>
      <c r="E26" s="19">
        <v>0.92</v>
      </c>
      <c r="F26" s="26">
        <v>2.44</v>
      </c>
      <c r="G26" s="29">
        <f t="shared" si="0"/>
        <v>62.295081967213115</v>
      </c>
    </row>
    <row r="27" spans="1:17" ht="15.95" customHeight="1">
      <c r="A27" s="33" t="s">
        <v>71</v>
      </c>
      <c r="B27" s="34"/>
      <c r="C27" s="34"/>
      <c r="D27" s="14" t="s">
        <v>72</v>
      </c>
      <c r="E27" s="19">
        <v>1.06</v>
      </c>
      <c r="F27" s="26">
        <v>2.4900000000000002</v>
      </c>
      <c r="G27" s="29">
        <f t="shared" si="0"/>
        <v>57.429718875502012</v>
      </c>
    </row>
    <row r="28" spans="1:17" ht="15.95" customHeight="1">
      <c r="A28" s="33" t="s">
        <v>73</v>
      </c>
      <c r="B28" s="34"/>
      <c r="C28" s="34"/>
      <c r="D28" s="14" t="s">
        <v>74</v>
      </c>
      <c r="E28" s="19">
        <v>1.03</v>
      </c>
      <c r="F28" s="26">
        <v>2.4900000000000002</v>
      </c>
      <c r="G28" s="29">
        <f t="shared" si="0"/>
        <v>58.634538152610439</v>
      </c>
    </row>
    <row r="29" spans="1:17" ht="15.95" customHeight="1">
      <c r="A29" s="33" t="s">
        <v>75</v>
      </c>
      <c r="B29" s="34"/>
      <c r="C29" s="34"/>
      <c r="D29" s="14" t="s">
        <v>76</v>
      </c>
      <c r="E29" s="19">
        <v>1.02</v>
      </c>
      <c r="F29" s="26">
        <v>2.5</v>
      </c>
      <c r="G29" s="29">
        <f t="shared" si="0"/>
        <v>59.199999999999996</v>
      </c>
    </row>
    <row r="30" spans="1:17" ht="15.95" customHeight="1">
      <c r="A30" s="33" t="s">
        <v>77</v>
      </c>
      <c r="B30" s="34"/>
      <c r="C30" s="34"/>
      <c r="D30" s="14" t="s">
        <v>78</v>
      </c>
      <c r="E30" s="19">
        <v>0.97</v>
      </c>
      <c r="F30" s="26">
        <v>2.4500000000000002</v>
      </c>
      <c r="G30" s="29">
        <f t="shared" si="0"/>
        <v>60.408163265306122</v>
      </c>
    </row>
    <row r="31" spans="1:17" ht="15.95" customHeight="1">
      <c r="A31" s="33" t="s">
        <v>79</v>
      </c>
      <c r="B31" s="34"/>
      <c r="C31" s="34"/>
      <c r="D31" s="14" t="s">
        <v>80</v>
      </c>
      <c r="E31" s="19">
        <v>0.93</v>
      </c>
      <c r="F31" s="26">
        <v>2.5</v>
      </c>
      <c r="G31" s="29">
        <f t="shared" si="0"/>
        <v>62.8</v>
      </c>
    </row>
    <row r="32" spans="1:17" ht="15.95" customHeight="1">
      <c r="A32" s="33" t="s">
        <v>81</v>
      </c>
      <c r="B32" s="34"/>
      <c r="C32" s="34"/>
      <c r="D32" s="14" t="s">
        <v>82</v>
      </c>
      <c r="E32" s="19">
        <v>1.01</v>
      </c>
      <c r="F32" s="26">
        <v>2.4900000000000002</v>
      </c>
      <c r="G32" s="29">
        <f t="shared" si="0"/>
        <v>59.437751004016071</v>
      </c>
    </row>
    <row r="33" spans="1:7" ht="15.95" customHeight="1">
      <c r="A33" s="31" t="s">
        <v>83</v>
      </c>
      <c r="B33" s="32"/>
      <c r="C33" s="32"/>
      <c r="D33" s="24" t="s">
        <v>84</v>
      </c>
      <c r="E33" s="22">
        <v>0.98</v>
      </c>
      <c r="F33" s="27">
        <v>2.48</v>
      </c>
      <c r="G33" s="30">
        <f t="shared" si="0"/>
        <v>60.483870967741936</v>
      </c>
    </row>
    <row r="34" spans="1:7" ht="15.75" customHeight="1">
      <c r="A34" s="6"/>
      <c r="B34" s="6"/>
      <c r="C34" s="6"/>
      <c r="D34" s="8"/>
    </row>
    <row r="35" spans="1:7" ht="15.75" customHeight="1">
      <c r="A35" s="6"/>
      <c r="B35" s="6"/>
      <c r="C35" s="6"/>
      <c r="D35" s="8"/>
    </row>
    <row r="36" spans="1:7" ht="15.95" customHeight="1">
      <c r="A36" s="6"/>
      <c r="B36" s="6"/>
      <c r="C36" s="6"/>
      <c r="D36" s="8"/>
    </row>
    <row r="37" spans="1:7" ht="15.95" customHeight="1">
      <c r="A37" s="6"/>
      <c r="B37" s="6"/>
      <c r="C37" s="6"/>
      <c r="D37" s="8"/>
    </row>
    <row r="38" spans="1:7" ht="15.95" customHeight="1">
      <c r="A38" s="6"/>
      <c r="B38" s="6"/>
      <c r="C38" s="6"/>
      <c r="D38" s="8"/>
    </row>
    <row r="39" spans="1:7" ht="15.95" customHeight="1">
      <c r="A39" s="6"/>
      <c r="B39" s="6"/>
      <c r="C39" s="6"/>
      <c r="D39" s="8"/>
    </row>
    <row r="40" spans="1:7" ht="15.95" customHeight="1">
      <c r="A40" s="6"/>
      <c r="B40" s="6"/>
      <c r="C40" s="6"/>
      <c r="D40" s="8"/>
    </row>
    <row r="41" spans="1:7" ht="15.95" customHeight="1">
      <c r="A41" s="6"/>
      <c r="B41" s="6"/>
      <c r="C41" s="6"/>
      <c r="D41" s="8"/>
    </row>
    <row r="42" spans="1:7" ht="15.75" customHeight="1">
      <c r="A42" s="6"/>
      <c r="B42" s="6"/>
      <c r="C42" s="6"/>
      <c r="D42" s="8"/>
    </row>
    <row r="43" spans="1:7" ht="15.75" customHeight="1">
      <c r="A43" s="6"/>
      <c r="B43" s="6"/>
      <c r="C43" s="6"/>
      <c r="D43" s="8"/>
    </row>
    <row r="44" spans="1:7" ht="15.75" customHeight="1">
      <c r="A44" s="6"/>
      <c r="B44" s="6"/>
      <c r="C44" s="6"/>
      <c r="D44" s="8"/>
    </row>
    <row r="45" spans="1:7" ht="15.75" customHeight="1">
      <c r="A45" s="6"/>
      <c r="B45" s="6"/>
      <c r="C45" s="6"/>
      <c r="D45" s="8"/>
    </row>
    <row r="46" spans="1:7" ht="15.75" customHeight="1">
      <c r="A46" s="6"/>
      <c r="B46" s="6"/>
      <c r="C46" s="6"/>
      <c r="D46" s="8"/>
    </row>
    <row r="47" spans="1:7" ht="15.75" customHeight="1">
      <c r="A47" s="6"/>
      <c r="B47" s="6"/>
      <c r="C47" s="6"/>
      <c r="D47" s="8"/>
    </row>
    <row r="48" spans="1:7" ht="15.75" customHeight="1">
      <c r="B48" s="7"/>
      <c r="C48" s="7"/>
      <c r="D48" s="9"/>
    </row>
    <row r="49" spans="1:18" ht="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spans="1:18" ht="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  <row r="63" spans="1:18">
      <c r="A63" s="7"/>
      <c r="B63" s="7"/>
      <c r="C63" s="7"/>
      <c r="D63" s="9"/>
    </row>
  </sheetData>
  <mergeCells count="45">
    <mergeCell ref="A49:R49"/>
    <mergeCell ref="A50:R50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A25:C25"/>
    <mergeCell ref="A26:C26"/>
    <mergeCell ref="A27:C27"/>
    <mergeCell ref="A28:C28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9:C29"/>
    <mergeCell ref="A30:C30"/>
    <mergeCell ref="A31:C31"/>
    <mergeCell ref="A32:C32"/>
    <mergeCell ref="A33:C3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2026-07-06T17:26:16Z</dcterms:modified>
  <cp:category/>
  <cp:contentStatus/>
</cp:coreProperties>
</file>