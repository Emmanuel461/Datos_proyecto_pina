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ANALISIS_LRN\ANALISIS 2026\"/>
    </mc:Choice>
  </mc:AlternateContent>
  <xr:revisionPtr revIDLastSave="0" documentId="13_ncr:1_{803CE3F0-98C4-45C8-BBE2-1FFD6AAB77D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6-00899 - 26-00913" sheetId="34" r:id="rId1"/>
    <sheet name="26-00914 - 26-00922" sheetId="39" r:id="rId2"/>
  </sheets>
  <definedNames>
    <definedName name="_xlnm.Print_Area" localSheetId="0">'26-00899 - 26-00913'!$A$1:$R$52</definedName>
    <definedName name="_xlnm.Print_Area" localSheetId="1">'26-00914 - 26-00922'!$A$1:$R$52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39" l="1"/>
  <c r="G26" i="39"/>
  <c r="G27" i="39"/>
  <c r="G29" i="39"/>
  <c r="G30" i="39"/>
  <c r="G31" i="39"/>
  <c r="G32" i="39"/>
  <c r="G33" i="39"/>
  <c r="G25" i="39"/>
  <c r="G26" i="34"/>
  <c r="G27" i="34"/>
  <c r="G28" i="34"/>
  <c r="G29" i="34"/>
  <c r="G30" i="34"/>
  <c r="G31" i="34"/>
  <c r="G32" i="34"/>
  <c r="G33" i="34"/>
  <c r="G34" i="34"/>
  <c r="G35" i="34"/>
  <c r="G36" i="34"/>
  <c r="G37" i="34"/>
  <c r="G38" i="34"/>
  <c r="G39" i="34"/>
  <c r="G25" i="34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<sst xmlns="http://schemas.openxmlformats.org/spreadsheetml/2006/main" count="120" uniqueCount="85">
  <si>
    <t>CENTRO DE INVESTIGACIONES AGRONÓMICAS</t>
  </si>
  <si>
    <t>LABORATORIO DE RECURSOS NATURALES</t>
  </si>
  <si>
    <t>REPORTE DE ENSAYO</t>
  </si>
  <si>
    <t>Nº DE REPORTE:</t>
  </si>
  <si>
    <t>99445</t>
  </si>
  <si>
    <t>USUARIO:</t>
  </si>
  <si>
    <t>PROYECTO VI-813-C6469 (CIPROC)</t>
  </si>
  <si>
    <t>RESPONSABLE:</t>
  </si>
  <si>
    <t>MANUEL CAMACHO</t>
  </si>
  <si>
    <t>CORREO</t>
  </si>
  <si>
    <t>manuel.camachoumana@ucr.ac.cr; rebeca.sandovalruiz@ucr.ac.cr</t>
  </si>
  <si>
    <t>TELÉFONO:</t>
  </si>
  <si>
    <t>2511-3237, 2511-8738, 4141</t>
  </si>
  <si>
    <t>ANÁLISIS:</t>
  </si>
  <si>
    <t>DA_DP (Porosidad),</t>
  </si>
  <si>
    <t>PROVINCIA:</t>
  </si>
  <si>
    <t>ALAJUELA</t>
  </si>
  <si>
    <t>FECHA RECEPCIÓN:</t>
  </si>
  <si>
    <t xml:space="preserve">20/04/2026 </t>
  </si>
  <si>
    <t>CANTÓN:</t>
  </si>
  <si>
    <t>UPALA</t>
  </si>
  <si>
    <t>EMISIÓN DE REPORTE:</t>
  </si>
  <si>
    <t xml:space="preserve">11/05/2026 </t>
  </si>
  <si>
    <t>Nº DE MUESTRAS TOTAL:</t>
  </si>
  <si>
    <t>24</t>
  </si>
  <si>
    <t>CULTIVO:</t>
  </si>
  <si>
    <t>PIÑA Y BOSQUE</t>
  </si>
  <si>
    <t>PÁGINA:</t>
  </si>
  <si>
    <t>1/2</t>
  </si>
  <si>
    <t>ID USUARIO</t>
  </si>
  <si>
    <t>ID LAB</t>
  </si>
  <si>
    <t xml:space="preserve">Densidad aparente  </t>
  </si>
  <si>
    <t>Densidad partículas</t>
  </si>
  <si>
    <t>Porosidad</t>
  </si>
  <si>
    <r>
      <t>(g cm</t>
    </r>
    <r>
      <rPr>
        <b/>
        <vertAlign val="superscript"/>
        <sz val="10"/>
        <rFont val="Arial"/>
        <family val="2"/>
      </rPr>
      <t>-3</t>
    </r>
    <r>
      <rPr>
        <b/>
        <sz val="10"/>
        <rFont val="Arial"/>
        <family val="2"/>
      </rPr>
      <t>)</t>
    </r>
  </si>
  <si>
    <t>(%)</t>
  </si>
  <si>
    <t>PIÑA 2 (ALONSO CHACON) R 1</t>
  </si>
  <si>
    <t>RN-26-00899</t>
  </si>
  <si>
    <t>PIÑA 2 (ALONSO CHACON) R 2</t>
  </si>
  <si>
    <t>RN-26-00900</t>
  </si>
  <si>
    <t>PIÑA 2 (ALONSO CHACON) R 3</t>
  </si>
  <si>
    <t>RN-26-00901</t>
  </si>
  <si>
    <t>PIÑA 2 (ALONSO CHACON) R 4</t>
  </si>
  <si>
    <t>RN-26-00902</t>
  </si>
  <si>
    <t>PIÑA 2 (ALONSO CHACON) R 5</t>
  </si>
  <si>
    <t>RN-26-00903</t>
  </si>
  <si>
    <t>PIÑA 2 (ALONSO CHACON) R 6</t>
  </si>
  <si>
    <t>RN-26-00904</t>
  </si>
  <si>
    <t>PIÑA 2 (ALONSO CHACON) R 7</t>
  </si>
  <si>
    <t>RN-26-00905</t>
  </si>
  <si>
    <t>PIÑA 2 (ALONSO CHACON) R 8</t>
  </si>
  <si>
    <t>RN-26-00906</t>
  </si>
  <si>
    <t>PIÑA 3 (MISAEL ROJAS) R 1</t>
  </si>
  <si>
    <t>RN-26-00907</t>
  </si>
  <si>
    <t>PIÑA 3 (MISAEL ROJAS) R 2</t>
  </si>
  <si>
    <t>RN-26-00908</t>
  </si>
  <si>
    <t>PIÑA 3 (MISAEL ROJAS) R 3</t>
  </si>
  <si>
    <t>RN-26-00909</t>
  </si>
  <si>
    <t>PIÑA 3 (MISAEL ROJAS) R 4</t>
  </si>
  <si>
    <t>RN-26-00910</t>
  </si>
  <si>
    <t>PIÑA 3 (MISAEL ROJAS) R 5</t>
  </si>
  <si>
    <t>RN-26-00911</t>
  </si>
  <si>
    <t>PIÑA 3 (MISAEL ROJAS) R 6</t>
  </si>
  <si>
    <t>RN-26-00912</t>
  </si>
  <si>
    <t>PIÑA 3 (MISAEL ROJAS) R 7</t>
  </si>
  <si>
    <t>RN-26-00913</t>
  </si>
  <si>
    <t>2/2</t>
  </si>
  <si>
    <t>PIÑA 3 (MISAEL ROJAS) R 8</t>
  </si>
  <si>
    <t>RN-26-00914</t>
  </si>
  <si>
    <t>PIÑA 4 (SERGIO ROJAS) R 1</t>
  </si>
  <si>
    <t>RN-26-00915</t>
  </si>
  <si>
    <t>PIÑA 4 (SERGIO ROJAS) R 2</t>
  </si>
  <si>
    <t>RN-26-00916</t>
  </si>
  <si>
    <t>PIÑA 4 (SERGIO ROJAS) R 3</t>
  </si>
  <si>
    <t>RN-26-00917</t>
  </si>
  <si>
    <t>PIÑA 4 (SERGIO ROJAS) R 4</t>
  </si>
  <si>
    <t>RN-26-00918</t>
  </si>
  <si>
    <t>PIÑA 4 (SERGIO ROJAS) R 5</t>
  </si>
  <si>
    <t>RN-26-00919</t>
  </si>
  <si>
    <t>PIÑA 4 (SERGIO ROJAS) R 6</t>
  </si>
  <si>
    <t>RN-26-00920</t>
  </si>
  <si>
    <t>PIÑA 4 (SERGIO ROJAS) R 7</t>
  </si>
  <si>
    <t>RN-26-00921</t>
  </si>
  <si>
    <t>PIÑA 4 (SERGIO ROJAS) R 8</t>
  </si>
  <si>
    <t>RN-26-00922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</si>
</sst>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9.3000000000000007"/>
      <name val="Arial"/>
      <family val="2"/>
    </font>
    <font>
      <b/>
      <sz val="8"/>
      <name val="Arial"/>
      <family val="2"/>
    </font>
    <font>
      <sz val="10"/>
      <name val="Arial Narrow"/>
      <family val="2"/>
    </font>
    <font>
      <b/>
      <sz val="11"/>
      <name val="Arial"/>
      <family val="2"/>
    </font>
    <font>
      <u/>
      <sz val="10"/>
      <color indexed="12"/>
      <name val="Arial"/>
      <family val="2"/>
    </font>
    <font>
      <b/>
      <sz val="12"/>
      <color indexed="8"/>
      <name val="Arial"/>
      <family val="2"/>
    </font>
    <font>
      <b/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>
      <alignment vertical="top"/>
    </xf>
    <xf numFmtId="0" fontId="1" fillId="0" borderId="0">
      <alignment vertical="top"/>
    </xf>
    <xf numFmtId="0" fontId="10" fillId="0" borderId="0" applyNumberFormat="0" applyFill="0" applyBorder="0" applyAlignment="0" applyProtection="0">
      <alignment vertical="top"/>
      <protection locked="0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</cellStyleXfs>
  <cellXfs count="45"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>
      <alignment vertical="top" wrapText="1" readingOrder="1"/>
    </xf>
    <xf numFmtId="0" fontId="1" fillId="0" borderId="0" xfId="0" applyFont="1" applyAlignment="1">
      <alignment horizontal="center"/>
    </xf>
    <xf numFmtId="0" fontId="3" fillId="0" borderId="0" xfId="0" applyFont="1" applyAlignment="1"/>
    <xf numFmtId="0" fontId="5" fillId="0" borderId="0" xfId="0" applyFont="1" applyAlignment="1"/>
    <xf numFmtId="49" fontId="8" fillId="0" borderId="0" xfId="0" applyNumberFormat="1" applyFont="1" applyAlignment="1"/>
    <xf numFmtId="49" fontId="1" fillId="0" borderId="0" xfId="0" applyNumberFormat="1" applyFont="1" applyAlignment="1"/>
    <xf numFmtId="49" fontId="8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5" fillId="0" borderId="1" xfId="5" applyFont="1" applyBorder="1" applyAlignment="1">
      <alignment horizontal="center" vertical="center"/>
    </xf>
    <xf numFmtId="0" fontId="2" fillId="0" borderId="0" xfId="0" applyFont="1" applyAlignment="1">
      <alignment horizontal="left" vertical="top" wrapText="1" readingOrder="1"/>
    </xf>
    <xf numFmtId="49" fontId="8" fillId="0" borderId="4" xfId="0" applyNumberFormat="1" applyFont="1" applyBorder="1" applyAlignment="1">
      <alignment horizontal="center"/>
    </xf>
    <xf numFmtId="49" fontId="8" fillId="0" borderId="6" xfId="0" applyNumberFormat="1" applyFont="1" applyBorder="1" applyAlignment="1">
      <alignment horizontal="center"/>
    </xf>
    <xf numFmtId="2" fontId="1" fillId="0" borderId="2" xfId="0" applyNumberFormat="1" applyFont="1" applyBorder="1" applyAlignment="1">
      <alignment horizontal="center" vertical="center"/>
    </xf>
    <xf numFmtId="2" fontId="1" fillId="0" borderId="7" xfId="0" applyNumberFormat="1" applyFont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1" fillId="0" borderId="8" xfId="0" applyNumberFormat="1" applyFont="1" applyBorder="1" applyAlignment="1">
      <alignment horizontal="center" vertical="center"/>
    </xf>
    <xf numFmtId="49" fontId="8" fillId="0" borderId="11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 vertical="center"/>
    </xf>
    <xf numFmtId="2" fontId="1" fillId="0" borderId="12" xfId="0" applyNumberFormat="1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2" fontId="1" fillId="0" borderId="11" xfId="0" applyNumberFormat="1" applyFont="1" applyBorder="1" applyAlignment="1">
      <alignment horizontal="center" vertical="center"/>
    </xf>
    <xf numFmtId="49" fontId="9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left" vertical="top" wrapText="1" readingOrder="1"/>
    </xf>
    <xf numFmtId="49" fontId="1" fillId="0" borderId="0" xfId="0" applyNumberFormat="1" applyFont="1" applyAlignment="1">
      <alignment horizontal="left"/>
    </xf>
    <xf numFmtId="0" fontId="11" fillId="0" borderId="0" xfId="0" applyFont="1" applyAlignment="1">
      <alignment horizontal="center" vertical="center" wrapText="1" readingOrder="1"/>
    </xf>
    <xf numFmtId="0" fontId="5" fillId="0" borderId="1" xfId="5" applyFont="1" applyBorder="1" applyAlignment="1">
      <alignment horizontal="center" vertical="center" wrapText="1"/>
    </xf>
    <xf numFmtId="0" fontId="5" fillId="0" borderId="1" xfId="5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8" fillId="0" borderId="3" xfId="0" applyNumberFormat="1" applyFont="1" applyBorder="1" applyAlignment="1">
      <alignment horizontal="left"/>
    </xf>
    <xf numFmtId="49" fontId="8" fillId="0" borderId="2" xfId="0" applyNumberFormat="1" applyFont="1" applyBorder="1" applyAlignment="1">
      <alignment horizontal="left"/>
    </xf>
    <xf numFmtId="49" fontId="8" fillId="0" borderId="5" xfId="0" applyNumberFormat="1" applyFont="1" applyBorder="1" applyAlignment="1">
      <alignment horizontal="left"/>
    </xf>
    <xf numFmtId="49" fontId="8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 vertical="top"/>
    </xf>
    <xf numFmtId="0" fontId="6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49" fontId="4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 vertical="top"/>
    </xf>
    <xf numFmtId="49" fontId="8" fillId="0" borderId="9" xfId="0" applyNumberFormat="1" applyFont="1" applyBorder="1" applyAlignment="1">
      <alignment horizontal="left"/>
    </xf>
    <xf numFmtId="49" fontId="8" fillId="0" borderId="10" xfId="0" applyNumberFormat="1" applyFont="1" applyBorder="1" applyAlignment="1">
      <alignment horizontal="left"/>
    </xf>
    <xf numFmtId="0" fontId="1" fillId="0" borderId="0" xfId="0" applyFont="1" applyAlignment="1">
      <alignment horizontal="left"/>
    </xf>
  </cellXfs>
  <cellStyles count="6">
    <cellStyle name="Hyperlink 2" xfId="2" xr:uid="{00000000-0005-0000-0000-000000000000}"/>
    <cellStyle name="Normal" xfId="0" builtinId="0"/>
    <cellStyle name="Normal 2" xfId="1" xr:uid="{00000000-0005-0000-0000-000002000000}"/>
    <cellStyle name="Normal 2 2" xfId="4" xr:uid="{00000000-0005-0000-0000-000003000000}"/>
    <cellStyle name="Normal 3" xfId="3" xr:uid="{00000000-0005-0000-0000-000004000000}"/>
    <cellStyle name="Normal 5" xfId="5" xr:uid="{6B11D541-9FED-4B94-9850-F1F36825892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40</xdr:row>
      <xdr:rowOff>114300</xdr:rowOff>
    </xdr:from>
    <xdr:to>
      <xdr:col>15</xdr:col>
      <xdr:colOff>114298</xdr:colOff>
      <xdr:row>48</xdr:row>
      <xdr:rowOff>76199</xdr:rowOff>
    </xdr:to>
    <xdr:grpSp>
      <xdr:nvGrpSpPr>
        <xdr:cNvPr id="9" name="8 Grupo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pSpPr/>
      </xdr:nvGrpSpPr>
      <xdr:grpSpPr>
        <a:xfrm>
          <a:off x="0" y="7886700"/>
          <a:ext cx="8267698" cy="1562099"/>
          <a:chOff x="600075" y="8296275"/>
          <a:chExt cx="7010398" cy="1562099"/>
        </a:xfrm>
      </xdr:grpSpPr>
      <xdr:sp macro="" textlink="">
        <xdr:nvSpPr>
          <xdr:cNvPr id="10" name="9 CuadroTexto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 txBox="1"/>
        </xdr:nvSpPr>
        <xdr:spPr>
          <a:xfrm>
            <a:off x="638175" y="8296275"/>
            <a:ext cx="6934200" cy="141922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endParaRPr lang="es-CR" sz="1100"/>
          </a:p>
        </xdr:txBody>
      </xdr:sp>
      <xdr:grpSp>
        <xdr:nvGrpSpPr>
          <xdr:cNvPr id="11" name="8 Grupo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GrpSpPr/>
        </xdr:nvGrpSpPr>
        <xdr:grpSpPr>
          <a:xfrm>
            <a:off x="600075" y="8391529"/>
            <a:ext cx="7010398" cy="1466845"/>
            <a:chOff x="783168" y="7916334"/>
            <a:chExt cx="7796684" cy="1386747"/>
          </a:xfrm>
        </xdr:grpSpPr>
        <xdr:sp macro="" textlink="">
          <xdr:nvSpPr>
            <xdr:cNvPr id="12" name="CuadroTexto 6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 txBox="1"/>
          </xdr:nvSpPr>
          <xdr:spPr>
            <a:xfrm>
              <a:off x="4529646" y="8693255"/>
              <a:ext cx="4050206" cy="55580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s-CR" sz="1000" b="1">
                  <a:latin typeface="Arial" panose="020B0604020202020204" pitchFamily="34" charset="0"/>
                  <a:cs typeface="Arial" panose="020B0604020202020204" pitchFamily="34" charset="0"/>
                </a:rPr>
                <a:t>Lic. Carlos M. Hidalgo Campos</a:t>
              </a:r>
            </a:p>
            <a:p>
              <a:pPr algn="ctr"/>
              <a:r>
                <a:rPr lang="es-CR" sz="1000" b="1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Gerente Técnico del Laboratorio de Recursos Naturales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000" b="1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N.I 10445</a:t>
              </a:r>
            </a:p>
            <a:p>
              <a:pPr algn="ctr"/>
              <a:endParaRPr lang="es-CR" sz="1000" b="1">
                <a:effectLst/>
              </a:endParaRPr>
            </a:p>
            <a:p>
              <a:pPr algn="ctr"/>
              <a:endParaRPr lang="es-CR" sz="1200" b="1"/>
            </a:p>
          </xdr:txBody>
        </xdr:sp>
        <xdr:pic>
          <xdr:nvPicPr>
            <xdr:cNvPr id="13" name="Imagen 7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6122094" y="7916334"/>
              <a:ext cx="878448" cy="782091"/>
            </a:xfrm>
            <a:prstGeom prst="rect">
              <a:avLst/>
            </a:prstGeom>
          </xdr:spPr>
        </xdr:pic>
        <xdr:sp macro="" textlink="">
          <xdr:nvSpPr>
            <xdr:cNvPr id="14" name="CuadroTexto 6">
              <a:extLst>
                <a:ext uri="{FF2B5EF4-FFF2-40B4-BE49-F238E27FC236}">
                  <a16:creationId xmlns:a16="http://schemas.microsoft.com/office/drawing/2014/main" id="{00000000-0008-0000-0000-00000E000000}"/>
                </a:ext>
              </a:extLst>
            </xdr:cNvPr>
            <xdr:cNvSpPr txBox="1"/>
          </xdr:nvSpPr>
          <xdr:spPr>
            <a:xfrm>
              <a:off x="783168" y="8696873"/>
              <a:ext cx="3714749" cy="606208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1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Dr. Manuel E. Camacho Umaña</a:t>
              </a:r>
              <a:r>
                <a:rPr lang="es-CR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 </a:t>
              </a:r>
              <a:endParaRPr lang="es-CR" sz="1000" b="1">
                <a:solidFill>
                  <a:schemeClr val="dk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000" b="1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Coordinador del Laborario de Recursos Naturales</a:t>
              </a:r>
            </a:p>
            <a:p>
              <a:pPr algn="ctr"/>
              <a:endParaRPr lang="es-CR" sz="1000" b="1">
                <a:effectLst/>
              </a:endParaRPr>
            </a:p>
            <a:p>
              <a:pPr algn="ctr"/>
              <a:endParaRPr lang="es-CR" sz="1200" b="1"/>
            </a:p>
          </xdr:txBody>
        </xdr:sp>
        <xdr:pic>
          <xdr:nvPicPr>
            <xdr:cNvPr id="15" name="Picture 1">
              <a:extLst>
                <a:ext uri="{FF2B5EF4-FFF2-40B4-BE49-F238E27FC236}">
                  <a16:creationId xmlns:a16="http://schemas.microsoft.com/office/drawing/2014/main" id="{00000000-0008-0000-0000-00000F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 cstate="print"/>
            <a:srcRect/>
            <a:stretch>
              <a:fillRect/>
            </a:stretch>
          </xdr:blipFill>
          <xdr:spPr bwMode="auto">
            <a:xfrm>
              <a:off x="1428750" y="8032751"/>
              <a:ext cx="2631894" cy="582084"/>
            </a:xfrm>
            <a:prstGeom prst="rect">
              <a:avLst/>
            </a:prstGeom>
            <a:noFill/>
            <a:ln w="1">
              <a:noFill/>
              <a:miter lim="800000"/>
              <a:headEnd/>
              <a:tailEnd type="none" w="med" len="med"/>
            </a:ln>
            <a:effectLst/>
          </xdr:spPr>
        </xdr:pic>
      </xdr:grpSp>
    </xdr:grpSp>
    <xdr:clientData/>
  </xdr:twoCellAnchor>
  <xdr:twoCellAnchor>
    <xdr:from>
      <xdr:col>0</xdr:col>
      <xdr:colOff>1</xdr:colOff>
      <xdr:row>48</xdr:row>
      <xdr:rowOff>123825</xdr:rowOff>
    </xdr:from>
    <xdr:to>
      <xdr:col>17</xdr:col>
      <xdr:colOff>19051</xdr:colOff>
      <xdr:row>51</xdr:row>
      <xdr:rowOff>76200</xdr:rowOff>
    </xdr:to>
    <xdr:sp macro="" textlink="">
      <xdr:nvSpPr>
        <xdr:cNvPr id="16" name="15 CuadroTexto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1" y="9544050"/>
          <a:ext cx="8667750" cy="495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CR" sz="800">
              <a:latin typeface="Arial" pitchFamily="34" charset="0"/>
              <a:cs typeface="Arial" pitchFamily="34" charset="0"/>
            </a:rPr>
            <a:t>1. El muestreo es responsabilidad del usuario.  2. Los resultados se refieren únicamente a las muestras ensayadas. 3. El Reporte de  Ensayo válido lleva</a:t>
          </a:r>
          <a:r>
            <a:rPr lang="es-CR" sz="800" baseline="0">
              <a:latin typeface="Arial" pitchFamily="34" charset="0"/>
              <a:cs typeface="Arial" pitchFamily="34" charset="0"/>
            </a:rPr>
            <a:t> las firmas del Coordinador y el Gerente Técnico  del  Laboratorio de Recursos Naturales</a:t>
          </a:r>
          <a:r>
            <a:rPr lang="es-CR" sz="800">
              <a:latin typeface="Arial" pitchFamily="34" charset="0"/>
              <a:cs typeface="Arial" pitchFamily="34" charset="0"/>
            </a:rPr>
            <a:t>.</a:t>
          </a:r>
          <a:r>
            <a:rPr lang="es-CR" sz="800" baseline="0">
              <a:latin typeface="Arial" pitchFamily="34" charset="0"/>
              <a:cs typeface="Arial" pitchFamily="34" charset="0"/>
            </a:rPr>
            <a:t> 4. </a:t>
          </a:r>
          <a:r>
            <a:rPr lang="es-CR" sz="800">
              <a:latin typeface="Arial" pitchFamily="34" charset="0"/>
              <a:cs typeface="Arial" pitchFamily="34" charset="0"/>
            </a:rPr>
            <a:t>Cuando el usuario solicita el envío del reporte por correo electrónico o fax, libera al Laboratorio de  resguardar la integridad y confidencialidad  de sus resultados.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40</xdr:row>
      <xdr:rowOff>114300</xdr:rowOff>
    </xdr:from>
    <xdr:to>
      <xdr:col>15</xdr:col>
      <xdr:colOff>114298</xdr:colOff>
      <xdr:row>48</xdr:row>
      <xdr:rowOff>76199</xdr:rowOff>
    </xdr:to>
    <xdr:grpSp>
      <xdr:nvGrpSpPr>
        <xdr:cNvPr id="2" name="8 Grupo">
          <a:extLst>
            <a:ext uri="{FF2B5EF4-FFF2-40B4-BE49-F238E27FC236}">
              <a16:creationId xmlns:a16="http://schemas.microsoft.com/office/drawing/2014/main" id="{27A1E839-D296-486F-B833-76DFDB9B55D7}"/>
            </a:ext>
          </a:extLst>
        </xdr:cNvPr>
        <xdr:cNvGrpSpPr/>
      </xdr:nvGrpSpPr>
      <xdr:grpSpPr>
        <a:xfrm>
          <a:off x="0" y="7886700"/>
          <a:ext cx="8267698" cy="1562099"/>
          <a:chOff x="600075" y="8296275"/>
          <a:chExt cx="7010398" cy="1562099"/>
        </a:xfrm>
      </xdr:grpSpPr>
      <xdr:sp macro="" textlink="">
        <xdr:nvSpPr>
          <xdr:cNvPr id="3" name="9 CuadroTexto">
            <a:extLst>
              <a:ext uri="{FF2B5EF4-FFF2-40B4-BE49-F238E27FC236}">
                <a16:creationId xmlns:a16="http://schemas.microsoft.com/office/drawing/2014/main" id="{C476265E-2077-B64C-CF8E-1D90BD0A545E}"/>
              </a:ext>
            </a:extLst>
          </xdr:cNvPr>
          <xdr:cNvSpPr txBox="1"/>
        </xdr:nvSpPr>
        <xdr:spPr>
          <a:xfrm>
            <a:off x="638175" y="8296275"/>
            <a:ext cx="6934200" cy="141922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endParaRPr lang="es-CR" sz="1100"/>
          </a:p>
        </xdr:txBody>
      </xdr:sp>
      <xdr:grpSp>
        <xdr:nvGrpSpPr>
          <xdr:cNvPr id="4" name="8 Grupo">
            <a:extLst>
              <a:ext uri="{FF2B5EF4-FFF2-40B4-BE49-F238E27FC236}">
                <a16:creationId xmlns:a16="http://schemas.microsoft.com/office/drawing/2014/main" id="{B8DBFC50-DD54-DF4C-D2FA-F4C87BE5D6D8}"/>
              </a:ext>
            </a:extLst>
          </xdr:cNvPr>
          <xdr:cNvGrpSpPr/>
        </xdr:nvGrpSpPr>
        <xdr:grpSpPr>
          <a:xfrm>
            <a:off x="600075" y="8391529"/>
            <a:ext cx="7010398" cy="1466845"/>
            <a:chOff x="783168" y="7916334"/>
            <a:chExt cx="7796684" cy="1386747"/>
          </a:xfrm>
        </xdr:grpSpPr>
        <xdr:sp macro="" textlink="">
          <xdr:nvSpPr>
            <xdr:cNvPr id="5" name="CuadroTexto 6">
              <a:extLst>
                <a:ext uri="{FF2B5EF4-FFF2-40B4-BE49-F238E27FC236}">
                  <a16:creationId xmlns:a16="http://schemas.microsoft.com/office/drawing/2014/main" id="{DD8CEA99-999C-3B6C-F516-49F23369E7BA}"/>
                </a:ext>
              </a:extLst>
            </xdr:cNvPr>
            <xdr:cNvSpPr txBox="1"/>
          </xdr:nvSpPr>
          <xdr:spPr>
            <a:xfrm>
              <a:off x="4529646" y="8693255"/>
              <a:ext cx="4050206" cy="55580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s-CR" sz="1000" b="1">
                  <a:latin typeface="Arial" panose="020B0604020202020204" pitchFamily="34" charset="0"/>
                  <a:cs typeface="Arial" panose="020B0604020202020204" pitchFamily="34" charset="0"/>
                </a:rPr>
                <a:t>Lic. Carlos M. Hidalgo Campos</a:t>
              </a:r>
            </a:p>
            <a:p>
              <a:pPr algn="ctr"/>
              <a:r>
                <a:rPr lang="es-CR" sz="1000" b="1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Gerente Técnico del Laboratorio de Recursos Naturales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000" b="1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N.I 10445</a:t>
              </a:r>
            </a:p>
            <a:p>
              <a:pPr algn="ctr"/>
              <a:endParaRPr lang="es-CR" sz="1000" b="1">
                <a:effectLst/>
              </a:endParaRPr>
            </a:p>
            <a:p>
              <a:pPr algn="ctr"/>
              <a:endParaRPr lang="es-CR" sz="1200" b="1"/>
            </a:p>
          </xdr:txBody>
        </xdr:sp>
        <xdr:pic>
          <xdr:nvPicPr>
            <xdr:cNvPr id="6" name="Imagen 7">
              <a:extLst>
                <a:ext uri="{FF2B5EF4-FFF2-40B4-BE49-F238E27FC236}">
                  <a16:creationId xmlns:a16="http://schemas.microsoft.com/office/drawing/2014/main" id="{0C14193D-2B88-4326-CD7D-9DC7B659860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6122094" y="7916334"/>
              <a:ext cx="878448" cy="782091"/>
            </a:xfrm>
            <a:prstGeom prst="rect">
              <a:avLst/>
            </a:prstGeom>
          </xdr:spPr>
        </xdr:pic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8A8B4550-8E9A-4579-225D-2EA5AC0E6AA3}"/>
                </a:ext>
              </a:extLst>
            </xdr:cNvPr>
            <xdr:cNvSpPr txBox="1"/>
          </xdr:nvSpPr>
          <xdr:spPr>
            <a:xfrm>
              <a:off x="783168" y="8696873"/>
              <a:ext cx="3714749" cy="606208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1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Dr. Manuel E. Camacho Umaña</a:t>
              </a:r>
              <a:r>
                <a:rPr lang="es-CR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 </a:t>
              </a:r>
              <a:endParaRPr lang="es-CR" sz="1000" b="1">
                <a:solidFill>
                  <a:schemeClr val="dk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000" b="1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Coordinador del Laborario de Recursos Naturales</a:t>
              </a:r>
            </a:p>
            <a:p>
              <a:pPr algn="ctr"/>
              <a:endParaRPr lang="es-CR" sz="1000" b="1">
                <a:effectLst/>
              </a:endParaRPr>
            </a:p>
            <a:p>
              <a:pPr algn="ctr"/>
              <a:endParaRPr lang="es-CR" sz="1200" b="1"/>
            </a:p>
          </xdr:txBody>
        </xdr:sp>
        <xdr:pic>
          <xdr:nvPicPr>
            <xdr:cNvPr id="8" name="Picture 1">
              <a:extLst>
                <a:ext uri="{FF2B5EF4-FFF2-40B4-BE49-F238E27FC236}">
                  <a16:creationId xmlns:a16="http://schemas.microsoft.com/office/drawing/2014/main" id="{BA0F14EC-65BA-019A-4A2A-D97C9C76B529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 cstate="print"/>
            <a:srcRect/>
            <a:stretch>
              <a:fillRect/>
            </a:stretch>
          </xdr:blipFill>
          <xdr:spPr bwMode="auto">
            <a:xfrm>
              <a:off x="1428750" y="8032751"/>
              <a:ext cx="2631894" cy="582084"/>
            </a:xfrm>
            <a:prstGeom prst="rect">
              <a:avLst/>
            </a:prstGeom>
            <a:noFill/>
            <a:ln w="1">
              <a:noFill/>
              <a:miter lim="800000"/>
              <a:headEnd/>
              <a:tailEnd type="none" w="med" len="med"/>
            </a:ln>
            <a:effectLst/>
          </xdr:spPr>
        </xdr:pic>
      </xdr:grpSp>
    </xdr:grpSp>
    <xdr:clientData/>
  </xdr:twoCellAnchor>
  <xdr:twoCellAnchor>
    <xdr:from>
      <xdr:col>0</xdr:col>
      <xdr:colOff>1</xdr:colOff>
      <xdr:row>48</xdr:row>
      <xdr:rowOff>123825</xdr:rowOff>
    </xdr:from>
    <xdr:to>
      <xdr:col>17</xdr:col>
      <xdr:colOff>19051</xdr:colOff>
      <xdr:row>51</xdr:row>
      <xdr:rowOff>76200</xdr:rowOff>
    </xdr:to>
    <xdr:sp macro="" textlink="">
      <xdr:nvSpPr>
        <xdr:cNvPr id="9" name="15 CuadroTexto">
          <a:extLst>
            <a:ext uri="{FF2B5EF4-FFF2-40B4-BE49-F238E27FC236}">
              <a16:creationId xmlns:a16="http://schemas.microsoft.com/office/drawing/2014/main" id="{DE841E36-47EA-45F5-B656-D8A7186F16D8}"/>
            </a:ext>
          </a:extLst>
        </xdr:cNvPr>
        <xdr:cNvSpPr txBox="1"/>
      </xdr:nvSpPr>
      <xdr:spPr>
        <a:xfrm>
          <a:off x="1" y="9505950"/>
          <a:ext cx="9629775" cy="495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CR" sz="800">
              <a:latin typeface="Arial" pitchFamily="34" charset="0"/>
              <a:cs typeface="Arial" pitchFamily="34" charset="0"/>
            </a:rPr>
            <a:t>1. El muestreo es responsabilidad del usuario.  2. Los resultados se refieren únicamente a las muestras ensayadas. 3. El Reporte de  Ensayo válido lleva</a:t>
          </a:r>
          <a:r>
            <a:rPr lang="es-CR" sz="800" baseline="0">
              <a:latin typeface="Arial" pitchFamily="34" charset="0"/>
              <a:cs typeface="Arial" pitchFamily="34" charset="0"/>
            </a:rPr>
            <a:t> las firmas del Coordinador y el Gerente Técnico  del  Laboratorio de Recursos Naturales</a:t>
          </a:r>
          <a:r>
            <a:rPr lang="es-CR" sz="800">
              <a:latin typeface="Arial" pitchFamily="34" charset="0"/>
              <a:cs typeface="Arial" pitchFamily="34" charset="0"/>
            </a:rPr>
            <a:t>.</a:t>
          </a:r>
          <a:r>
            <a:rPr lang="es-CR" sz="800" baseline="0">
              <a:latin typeface="Arial" pitchFamily="34" charset="0"/>
              <a:cs typeface="Arial" pitchFamily="34" charset="0"/>
            </a:rPr>
            <a:t> 4. </a:t>
          </a:r>
          <a:r>
            <a:rPr lang="es-CR" sz="800">
              <a:latin typeface="Arial" pitchFamily="34" charset="0"/>
              <a:cs typeface="Arial" pitchFamily="34" charset="0"/>
            </a:rPr>
            <a:t>Cuando el usuario solicita el envío del reporte por correo electrónico o fax, libera al Laboratorio de  resguardar la integridad y confidencialidad  de sus resultados.</a:t>
          </a:r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63"/>
  <sheetViews>
    <sheetView tabSelected="1" zoomScaleNormal="100" workbookViewId="0">
      <selection activeCell="B8" sqref="B8:Q8"/>
    </sheetView>
  </sheetViews>
  <sheetFormatPr defaultColWidth="11.42578125" defaultRowHeight="12.75"/>
  <cols>
    <col min="1" max="1" width="17" style="1" customWidth="1"/>
    <col min="2" max="2" width="1.5703125" style="1" customWidth="1"/>
    <col min="3" max="3" width="8.140625" style="1" customWidth="1"/>
    <col min="4" max="4" width="10.7109375" style="3" customWidth="1"/>
    <col min="5" max="7" width="12.28515625" style="1" customWidth="1"/>
    <col min="8" max="8" width="14.5703125" style="1" customWidth="1"/>
    <col min="9" max="9" width="1.5703125" style="1" customWidth="1"/>
    <col min="10" max="11" width="5.85546875" style="1" customWidth="1"/>
    <col min="12" max="12" width="4.85546875" style="1" customWidth="1"/>
    <col min="13" max="13" width="5.5703125" style="1" customWidth="1"/>
    <col min="14" max="16" width="4.85546875" style="1" customWidth="1"/>
    <col min="17" max="17" width="17" style="1" customWidth="1"/>
    <col min="18" max="18" width="2" style="1" customWidth="1"/>
    <col min="19" max="16384" width="11.42578125" style="1"/>
  </cols>
  <sheetData>
    <row r="1" spans="1:17" ht="76.5" customHeight="1">
      <c r="A1" s="8" t="e" vm="1">
        <v>#VALUE!</v>
      </c>
      <c r="D1" s="38" t="s">
        <v>0</v>
      </c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Q1" s="10" t="e" vm="2">
        <v>#VALUE!</v>
      </c>
    </row>
    <row r="2" spans="1:17" ht="15.75">
      <c r="D2" s="38" t="s">
        <v>1</v>
      </c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</row>
    <row r="3" spans="1:17" ht="15.75">
      <c r="B3" s="4"/>
      <c r="C3" s="4"/>
      <c r="D3" s="38" t="s">
        <v>2</v>
      </c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</row>
    <row r="4" spans="1:17" ht="14.25" customHeight="1">
      <c r="B4" s="4"/>
      <c r="C4" s="4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</row>
    <row r="5" spans="1:17" ht="1.5" customHeight="1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4"/>
    </row>
    <row r="6" spans="1:17" ht="1.5" customHeight="1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</row>
    <row r="7" spans="1:17" ht="1.5" customHeight="1"/>
    <row r="8" spans="1:17" ht="20.100000000000001" customHeight="1">
      <c r="A8" s="5" t="s">
        <v>3</v>
      </c>
      <c r="B8" s="40" t="s">
        <v>4</v>
      </c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</row>
    <row r="9" spans="1:17" ht="12.75" customHeight="1">
      <c r="A9" s="2" t="s">
        <v>5</v>
      </c>
      <c r="B9" s="27" t="s">
        <v>6</v>
      </c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1:17">
      <c r="A10" s="2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</row>
    <row r="11" spans="1:17" ht="12.75" customHeight="1">
      <c r="A11" s="2" t="s">
        <v>7</v>
      </c>
      <c r="B11" s="26" t="s">
        <v>8</v>
      </c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</row>
    <row r="12" spans="1:17" ht="12.75" customHeight="1">
      <c r="A12" s="12" t="s">
        <v>9</v>
      </c>
      <c r="B12" s="41" t="s">
        <v>10</v>
      </c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</row>
    <row r="13" spans="1:17" ht="12.75" customHeight="1">
      <c r="A13" s="12" t="s">
        <v>11</v>
      </c>
      <c r="B13" s="26" t="s">
        <v>12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</row>
    <row r="14" spans="1:17" ht="12.75" customHeight="1">
      <c r="A14" s="2"/>
      <c r="B14" s="26"/>
      <c r="C14" s="26"/>
      <c r="D14" s="26"/>
      <c r="E14" s="26"/>
      <c r="F14" s="26"/>
      <c r="G14" s="26"/>
      <c r="H14" s="26"/>
      <c r="I14" s="26"/>
      <c r="J14" s="44" t="s">
        <v>13</v>
      </c>
      <c r="K14" s="44"/>
      <c r="L14" s="44"/>
      <c r="M14" s="44"/>
      <c r="N14" s="27" t="s">
        <v>14</v>
      </c>
      <c r="O14" s="27"/>
      <c r="P14" s="27"/>
      <c r="Q14" s="27"/>
    </row>
    <row r="15" spans="1:17" ht="12.75" customHeight="1">
      <c r="A15" s="2" t="s">
        <v>15</v>
      </c>
      <c r="B15" s="26" t="s">
        <v>16</v>
      </c>
      <c r="C15" s="26"/>
      <c r="D15" s="26"/>
      <c r="E15" s="26"/>
      <c r="F15" s="26"/>
      <c r="G15" s="26"/>
      <c r="H15" s="26"/>
      <c r="I15" s="26"/>
      <c r="J15" s="44" t="s">
        <v>17</v>
      </c>
      <c r="K15" s="44"/>
      <c r="L15" s="44"/>
      <c r="M15" s="44"/>
      <c r="N15" s="27" t="s">
        <v>18</v>
      </c>
      <c r="O15" s="27"/>
      <c r="P15" s="27"/>
      <c r="Q15" s="27"/>
    </row>
    <row r="16" spans="1:17" ht="12.75" customHeight="1">
      <c r="A16" s="2" t="s">
        <v>19</v>
      </c>
      <c r="B16" s="26" t="s">
        <v>20</v>
      </c>
      <c r="C16" s="26"/>
      <c r="D16" s="26"/>
      <c r="E16" s="26"/>
      <c r="F16" s="26"/>
      <c r="G16" s="26"/>
      <c r="H16" s="26"/>
      <c r="I16" s="26"/>
      <c r="J16" s="44" t="s">
        <v>21</v>
      </c>
      <c r="K16" s="44"/>
      <c r="L16" s="44"/>
      <c r="M16" s="44"/>
      <c r="N16" s="27" t="s">
        <v>22</v>
      </c>
      <c r="O16" s="27"/>
      <c r="P16" s="27"/>
      <c r="Q16" s="27"/>
    </row>
    <row r="17" spans="1:17" ht="12.75" customHeight="1">
      <c r="A17" s="2"/>
      <c r="B17" s="36"/>
      <c r="C17" s="36"/>
      <c r="D17" s="36"/>
      <c r="E17" s="36"/>
      <c r="F17" s="36"/>
      <c r="G17" s="36"/>
      <c r="H17" s="36"/>
      <c r="I17" s="36"/>
      <c r="J17" s="37" t="s">
        <v>23</v>
      </c>
      <c r="K17" s="37"/>
      <c r="L17" s="37"/>
      <c r="M17" s="37"/>
      <c r="N17" s="27" t="s">
        <v>24</v>
      </c>
      <c r="O17" s="27"/>
      <c r="P17" s="27"/>
      <c r="Q17" s="27"/>
    </row>
    <row r="18" spans="1:17" ht="12.75" customHeight="1">
      <c r="A18" s="2" t="s">
        <v>25</v>
      </c>
      <c r="B18" s="26" t="s">
        <v>26</v>
      </c>
      <c r="C18" s="26"/>
      <c r="D18" s="26"/>
      <c r="E18" s="26"/>
      <c r="F18" s="26"/>
      <c r="G18" s="26"/>
      <c r="H18" s="26"/>
      <c r="I18" s="26"/>
      <c r="J18" s="44" t="s">
        <v>27</v>
      </c>
      <c r="K18" s="44"/>
      <c r="L18" s="44"/>
      <c r="M18" s="44"/>
      <c r="N18" s="27" t="s">
        <v>28</v>
      </c>
      <c r="O18" s="27"/>
      <c r="P18" s="27"/>
      <c r="Q18" s="27"/>
    </row>
    <row r="19" spans="1:17" ht="1.5" customHeight="1">
      <c r="C19" s="2"/>
    </row>
    <row r="20" spans="1:17" ht="22.5" customHeight="1">
      <c r="A20" s="28"/>
      <c r="B20" s="28"/>
      <c r="C20" s="28"/>
      <c r="D20" s="28"/>
      <c r="E20" s="28"/>
      <c r="F20" s="28"/>
      <c r="G20" s="28"/>
      <c r="H20" s="28"/>
    </row>
    <row r="21" spans="1:17" ht="15.75" customHeight="1">
      <c r="A21" s="31" t="s">
        <v>29</v>
      </c>
      <c r="B21" s="31"/>
      <c r="C21" s="31"/>
      <c r="D21" s="31" t="s">
        <v>30</v>
      </c>
      <c r="E21" s="29" t="s">
        <v>31</v>
      </c>
      <c r="F21" s="29" t="s">
        <v>32</v>
      </c>
      <c r="G21" s="29" t="s">
        <v>33</v>
      </c>
    </row>
    <row r="22" spans="1:17" ht="15" customHeight="1">
      <c r="A22" s="31"/>
      <c r="B22" s="31"/>
      <c r="C22" s="31"/>
      <c r="D22" s="31"/>
      <c r="E22" s="29"/>
      <c r="F22" s="29"/>
      <c r="G22" s="29"/>
    </row>
    <row r="23" spans="1:17" ht="15.75" customHeight="1">
      <c r="A23" s="31"/>
      <c r="B23" s="31"/>
      <c r="C23" s="31"/>
      <c r="D23" s="31"/>
      <c r="E23" s="29"/>
      <c r="F23" s="29"/>
      <c r="G23" s="29"/>
    </row>
    <row r="24" spans="1:17" ht="15.75" customHeight="1">
      <c r="A24" s="31"/>
      <c r="B24" s="31"/>
      <c r="C24" s="31"/>
      <c r="D24" s="31"/>
      <c r="E24" s="30" t="s">
        <v>34</v>
      </c>
      <c r="F24" s="30"/>
      <c r="G24" s="11" t="s">
        <v>35</v>
      </c>
    </row>
    <row r="25" spans="1:17" ht="15.95" customHeight="1">
      <c r="A25" s="32" t="s">
        <v>36</v>
      </c>
      <c r="B25" s="33"/>
      <c r="C25" s="33"/>
      <c r="D25" s="13" t="s">
        <v>37</v>
      </c>
      <c r="E25" s="15">
        <v>0.97</v>
      </c>
      <c r="F25" s="22">
        <v>2.4700000000000002</v>
      </c>
      <c r="G25" s="16">
        <f>+(1-(E25/F25))*100</f>
        <v>60.728744939271259</v>
      </c>
    </row>
    <row r="26" spans="1:17" ht="15.95" customHeight="1">
      <c r="A26" s="34" t="s">
        <v>38</v>
      </c>
      <c r="B26" s="35"/>
      <c r="C26" s="35"/>
      <c r="D26" s="14" t="s">
        <v>39</v>
      </c>
      <c r="E26" s="17">
        <v>0.96</v>
      </c>
      <c r="F26" s="23">
        <v>2.5099999999999998</v>
      </c>
      <c r="G26" s="18">
        <f t="shared" ref="G26:G39" si="0">+(1-(E26/F26))*100</f>
        <v>61.752988047808763</v>
      </c>
    </row>
    <row r="27" spans="1:17" ht="15.95" customHeight="1">
      <c r="A27" s="34" t="s">
        <v>40</v>
      </c>
      <c r="B27" s="35"/>
      <c r="C27" s="35"/>
      <c r="D27" s="14" t="s">
        <v>41</v>
      </c>
      <c r="E27" s="17">
        <v>0.95</v>
      </c>
      <c r="F27" s="23">
        <v>2.5299999999999998</v>
      </c>
      <c r="G27" s="18">
        <f t="shared" si="0"/>
        <v>62.450592885375485</v>
      </c>
    </row>
    <row r="28" spans="1:17" ht="15.95" customHeight="1">
      <c r="A28" s="34" t="s">
        <v>42</v>
      </c>
      <c r="B28" s="35"/>
      <c r="C28" s="35"/>
      <c r="D28" s="14" t="s">
        <v>43</v>
      </c>
      <c r="E28" s="17">
        <v>0.96</v>
      </c>
      <c r="F28" s="23">
        <v>2.48</v>
      </c>
      <c r="G28" s="18">
        <f t="shared" si="0"/>
        <v>61.29032258064516</v>
      </c>
    </row>
    <row r="29" spans="1:17" ht="15.95" customHeight="1">
      <c r="A29" s="34" t="s">
        <v>44</v>
      </c>
      <c r="B29" s="35"/>
      <c r="C29" s="35"/>
      <c r="D29" s="14" t="s">
        <v>45</v>
      </c>
      <c r="E29" s="17">
        <v>0.95</v>
      </c>
      <c r="F29" s="23">
        <v>2.5099999999999998</v>
      </c>
      <c r="G29" s="18">
        <f t="shared" si="0"/>
        <v>62.151394422310759</v>
      </c>
    </row>
    <row r="30" spans="1:17" ht="15.95" customHeight="1">
      <c r="A30" s="34" t="s">
        <v>46</v>
      </c>
      <c r="B30" s="35"/>
      <c r="C30" s="35"/>
      <c r="D30" s="14" t="s">
        <v>47</v>
      </c>
      <c r="E30" s="17">
        <v>0.94</v>
      </c>
      <c r="F30" s="23">
        <v>2.4900000000000002</v>
      </c>
      <c r="G30" s="18">
        <f t="shared" si="0"/>
        <v>62.24899598393575</v>
      </c>
    </row>
    <row r="31" spans="1:17" ht="15.95" customHeight="1">
      <c r="A31" s="34" t="s">
        <v>48</v>
      </c>
      <c r="B31" s="35"/>
      <c r="C31" s="35"/>
      <c r="D31" s="14" t="s">
        <v>49</v>
      </c>
      <c r="E31" s="17">
        <v>0.87</v>
      </c>
      <c r="F31" s="23">
        <v>2.5299999999999998</v>
      </c>
      <c r="G31" s="18">
        <f t="shared" si="0"/>
        <v>65.612648221343875</v>
      </c>
    </row>
    <row r="32" spans="1:17" ht="15.95" customHeight="1">
      <c r="A32" s="34" t="s">
        <v>50</v>
      </c>
      <c r="B32" s="35"/>
      <c r="C32" s="35"/>
      <c r="D32" s="14" t="s">
        <v>51</v>
      </c>
      <c r="E32" s="17">
        <v>0.91</v>
      </c>
      <c r="F32" s="23">
        <v>2.54</v>
      </c>
      <c r="G32" s="18">
        <f t="shared" si="0"/>
        <v>64.173228346456696</v>
      </c>
    </row>
    <row r="33" spans="1:7" ht="15.95" customHeight="1">
      <c r="A33" s="34" t="s">
        <v>52</v>
      </c>
      <c r="B33" s="35"/>
      <c r="C33" s="35"/>
      <c r="D33" s="14" t="s">
        <v>53</v>
      </c>
      <c r="E33" s="17">
        <v>0.9</v>
      </c>
      <c r="F33" s="23">
        <v>2.57</v>
      </c>
      <c r="G33" s="18">
        <f t="shared" si="0"/>
        <v>64.980544747081709</v>
      </c>
    </row>
    <row r="34" spans="1:7" ht="15.95" customHeight="1">
      <c r="A34" s="34" t="s">
        <v>54</v>
      </c>
      <c r="B34" s="35"/>
      <c r="C34" s="35"/>
      <c r="D34" s="14" t="s">
        <v>55</v>
      </c>
      <c r="E34" s="17">
        <v>0.88</v>
      </c>
      <c r="F34" s="23">
        <v>2.56</v>
      </c>
      <c r="G34" s="18">
        <f t="shared" si="0"/>
        <v>65.625</v>
      </c>
    </row>
    <row r="35" spans="1:7" ht="15.95" customHeight="1">
      <c r="A35" s="34" t="s">
        <v>56</v>
      </c>
      <c r="B35" s="35"/>
      <c r="C35" s="35"/>
      <c r="D35" s="14" t="s">
        <v>57</v>
      </c>
      <c r="E35" s="17">
        <v>0.9</v>
      </c>
      <c r="F35" s="23">
        <v>2.57</v>
      </c>
      <c r="G35" s="18">
        <f t="shared" si="0"/>
        <v>64.980544747081709</v>
      </c>
    </row>
    <row r="36" spans="1:7" ht="15.95" customHeight="1">
      <c r="A36" s="34" t="s">
        <v>58</v>
      </c>
      <c r="B36" s="35"/>
      <c r="C36" s="35"/>
      <c r="D36" s="14" t="s">
        <v>59</v>
      </c>
      <c r="E36" s="17">
        <v>0.84</v>
      </c>
      <c r="F36" s="23">
        <v>2.54</v>
      </c>
      <c r="G36" s="18">
        <f t="shared" si="0"/>
        <v>66.929133858267718</v>
      </c>
    </row>
    <row r="37" spans="1:7" ht="15.95" customHeight="1">
      <c r="A37" s="34" t="s">
        <v>60</v>
      </c>
      <c r="B37" s="35"/>
      <c r="C37" s="35"/>
      <c r="D37" s="14" t="s">
        <v>61</v>
      </c>
      <c r="E37" s="17">
        <v>0.98</v>
      </c>
      <c r="F37" s="23">
        <v>2.59</v>
      </c>
      <c r="G37" s="18">
        <f t="shared" si="0"/>
        <v>62.162162162162161</v>
      </c>
    </row>
    <row r="38" spans="1:7" ht="15.95" customHeight="1">
      <c r="A38" s="34" t="s">
        <v>62</v>
      </c>
      <c r="B38" s="35"/>
      <c r="C38" s="35"/>
      <c r="D38" s="14" t="s">
        <v>63</v>
      </c>
      <c r="E38" s="17">
        <v>0.92</v>
      </c>
      <c r="F38" s="23">
        <v>2.57</v>
      </c>
      <c r="G38" s="18">
        <f t="shared" si="0"/>
        <v>64.202334630350194</v>
      </c>
    </row>
    <row r="39" spans="1:7" ht="15.95" customHeight="1">
      <c r="A39" s="42" t="s">
        <v>64</v>
      </c>
      <c r="B39" s="43"/>
      <c r="C39" s="43"/>
      <c r="D39" s="19" t="s">
        <v>65</v>
      </c>
      <c r="E39" s="20">
        <v>0.85</v>
      </c>
      <c r="F39" s="24">
        <v>2.58</v>
      </c>
      <c r="G39" s="21">
        <f t="shared" si="0"/>
        <v>67.054263565891475</v>
      </c>
    </row>
    <row r="40" spans="1:7" ht="15.75" customHeight="1">
      <c r="A40" s="6"/>
      <c r="B40" s="6"/>
      <c r="C40" s="6"/>
      <c r="D40" s="8"/>
    </row>
    <row r="41" spans="1:7" ht="15.75" customHeight="1">
      <c r="A41" s="6"/>
      <c r="B41" s="6"/>
      <c r="C41" s="6"/>
      <c r="D41" s="8"/>
    </row>
    <row r="42" spans="1:7" ht="15.75" customHeight="1">
      <c r="A42" s="6"/>
      <c r="B42" s="6"/>
      <c r="C42" s="6"/>
      <c r="D42" s="8"/>
    </row>
    <row r="43" spans="1:7" ht="15.75" customHeight="1">
      <c r="A43" s="6"/>
      <c r="B43" s="6"/>
      <c r="C43" s="6"/>
      <c r="D43" s="8"/>
    </row>
    <row r="44" spans="1:7" ht="15.75" customHeight="1">
      <c r="A44" s="6"/>
      <c r="B44" s="6"/>
      <c r="C44" s="6"/>
      <c r="D44" s="8"/>
    </row>
    <row r="45" spans="1:7" ht="15.75" customHeight="1">
      <c r="A45" s="6"/>
      <c r="B45" s="6"/>
      <c r="C45" s="6"/>
      <c r="D45" s="8"/>
    </row>
    <row r="46" spans="1:7" ht="15.75" customHeight="1">
      <c r="A46" s="6"/>
      <c r="B46" s="6"/>
      <c r="C46" s="6"/>
      <c r="D46" s="8"/>
    </row>
    <row r="47" spans="1:7" ht="15.75" customHeight="1">
      <c r="A47" s="6"/>
      <c r="B47" s="6"/>
      <c r="C47" s="6"/>
      <c r="D47" s="8"/>
    </row>
    <row r="48" spans="1:7" ht="15.75" customHeight="1">
      <c r="B48" s="7"/>
      <c r="C48" s="7"/>
      <c r="D48" s="9"/>
    </row>
    <row r="49" spans="1:18" ht="1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</row>
    <row r="50" spans="1:18" ht="1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</row>
    <row r="51" spans="1:18">
      <c r="A51" s="7"/>
      <c r="B51" s="7"/>
      <c r="C51" s="7"/>
      <c r="D51" s="9"/>
    </row>
    <row r="52" spans="1:18">
      <c r="A52" s="7"/>
      <c r="B52" s="7"/>
      <c r="C52" s="7"/>
      <c r="D52" s="9"/>
    </row>
    <row r="53" spans="1:18">
      <c r="A53" s="7"/>
      <c r="B53" s="7"/>
      <c r="C53" s="7"/>
      <c r="D53" s="9"/>
    </row>
    <row r="54" spans="1:18" ht="9" customHeight="1">
      <c r="A54" s="7"/>
      <c r="B54" s="7"/>
      <c r="C54" s="7"/>
      <c r="D54" s="9"/>
    </row>
    <row r="55" spans="1:18" ht="9" customHeight="1">
      <c r="A55" s="7"/>
      <c r="B55" s="7"/>
      <c r="C55" s="7"/>
      <c r="D55" s="9"/>
    </row>
    <row r="56" spans="1:18" ht="9" customHeight="1">
      <c r="A56" s="7"/>
      <c r="B56" s="7"/>
      <c r="C56" s="7"/>
      <c r="D56" s="9"/>
    </row>
    <row r="57" spans="1:18">
      <c r="A57" s="7"/>
      <c r="B57" s="7"/>
      <c r="C57" s="7"/>
      <c r="D57" s="9"/>
    </row>
    <row r="58" spans="1:18">
      <c r="A58" s="7"/>
      <c r="B58" s="7"/>
      <c r="C58" s="7"/>
      <c r="D58" s="9"/>
    </row>
    <row r="59" spans="1:18">
      <c r="A59" s="7"/>
      <c r="B59" s="7"/>
      <c r="C59" s="7"/>
      <c r="D59" s="9"/>
    </row>
    <row r="60" spans="1:18">
      <c r="A60" s="7"/>
      <c r="B60" s="7"/>
      <c r="C60" s="7"/>
      <c r="D60" s="9"/>
    </row>
    <row r="61" spans="1:18">
      <c r="A61" s="7"/>
      <c r="B61" s="7"/>
      <c r="C61" s="7"/>
      <c r="D61" s="9"/>
    </row>
    <row r="62" spans="1:18">
      <c r="A62" s="7"/>
      <c r="B62" s="7"/>
      <c r="C62" s="7"/>
      <c r="D62" s="9"/>
    </row>
    <row r="63" spans="1:18">
      <c r="A63" s="7"/>
      <c r="B63" s="7"/>
      <c r="C63" s="7"/>
      <c r="D63" s="9"/>
    </row>
  </sheetData>
  <mergeCells count="51">
    <mergeCell ref="A39:C39"/>
    <mergeCell ref="A34:C34"/>
    <mergeCell ref="A35:C35"/>
    <mergeCell ref="A36:C36"/>
    <mergeCell ref="A37:C37"/>
    <mergeCell ref="A38:C38"/>
    <mergeCell ref="A29:C29"/>
    <mergeCell ref="A30:C30"/>
    <mergeCell ref="A31:C31"/>
    <mergeCell ref="A32:C32"/>
    <mergeCell ref="A33:C33"/>
    <mergeCell ref="B13:Q13"/>
    <mergeCell ref="D1:O1"/>
    <mergeCell ref="D2:O2"/>
    <mergeCell ref="D3:O3"/>
    <mergeCell ref="D4:O4"/>
    <mergeCell ref="A5:N5"/>
    <mergeCell ref="A6:N6"/>
    <mergeCell ref="B8:Q8"/>
    <mergeCell ref="B9:Q9"/>
    <mergeCell ref="B10:Q10"/>
    <mergeCell ref="B11:Q11"/>
    <mergeCell ref="B12:Q12"/>
    <mergeCell ref="B14:I14"/>
    <mergeCell ref="J14:M14"/>
    <mergeCell ref="N14:Q14"/>
    <mergeCell ref="B15:I15"/>
    <mergeCell ref="J15:M15"/>
    <mergeCell ref="N15:Q15"/>
    <mergeCell ref="B16:I16"/>
    <mergeCell ref="J16:M16"/>
    <mergeCell ref="N16:Q16"/>
    <mergeCell ref="B17:I17"/>
    <mergeCell ref="J17:M17"/>
    <mergeCell ref="N17:Q17"/>
    <mergeCell ref="A49:R49"/>
    <mergeCell ref="A50:R50"/>
    <mergeCell ref="B18:I18"/>
    <mergeCell ref="J18:M18"/>
    <mergeCell ref="N18:Q18"/>
    <mergeCell ref="A20:H20"/>
    <mergeCell ref="E21:E23"/>
    <mergeCell ref="F21:F23"/>
    <mergeCell ref="G21:G23"/>
    <mergeCell ref="E24:F24"/>
    <mergeCell ref="A21:C24"/>
    <mergeCell ref="D21:D24"/>
    <mergeCell ref="A25:C25"/>
    <mergeCell ref="A26:C26"/>
    <mergeCell ref="A27:C27"/>
    <mergeCell ref="A28:C28"/>
  </mergeCells>
  <pageMargins left="0.39370078740157483" right="0.27559055118110237" top="0.23622047244094491" bottom="0.35433070866141736" header="0" footer="0"/>
  <pageSetup scale="79" orientation="portrait" horizontalDpi="4294967294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75007-2D64-4CC9-BDFA-43136886FFFC}">
  <sheetPr>
    <pageSetUpPr fitToPage="1"/>
  </sheetPr>
  <dimension ref="A1:R63"/>
  <sheetViews>
    <sheetView topLeftCell="A4" zoomScaleNormal="100" workbookViewId="0">
      <selection activeCell="J28" sqref="J28"/>
    </sheetView>
  </sheetViews>
  <sheetFormatPr defaultColWidth="11.42578125" defaultRowHeight="12.75"/>
  <cols>
    <col min="1" max="1" width="17" style="1" customWidth="1"/>
    <col min="2" max="2" width="1.5703125" style="1" customWidth="1"/>
    <col min="3" max="3" width="8.140625" style="1" customWidth="1"/>
    <col min="4" max="4" width="10.7109375" style="3" customWidth="1"/>
    <col min="5" max="7" width="12.28515625" style="1" customWidth="1"/>
    <col min="8" max="8" width="14.5703125" style="1" customWidth="1"/>
    <col min="9" max="9" width="1.5703125" style="1" customWidth="1"/>
    <col min="10" max="11" width="5.85546875" style="1" customWidth="1"/>
    <col min="12" max="12" width="4.85546875" style="1" customWidth="1"/>
    <col min="13" max="13" width="5.5703125" style="1" customWidth="1"/>
    <col min="14" max="16" width="4.85546875" style="1" customWidth="1"/>
    <col min="17" max="17" width="17" style="1" customWidth="1"/>
    <col min="18" max="18" width="2" style="1" customWidth="1"/>
    <col min="19" max="16384" width="11.42578125" style="1"/>
  </cols>
  <sheetData>
    <row r="1" spans="1:17" ht="76.5" customHeight="1">
      <c r="A1" s="8" t="e" vm="1">
        <v>#VALUE!</v>
      </c>
      <c r="D1" s="38" t="s">
        <v>0</v>
      </c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Q1" s="10" t="e" vm="2">
        <v>#VALUE!</v>
      </c>
    </row>
    <row r="2" spans="1:17" ht="15.75">
      <c r="D2" s="38" t="s">
        <v>1</v>
      </c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</row>
    <row r="3" spans="1:17" ht="15.75">
      <c r="B3" s="4"/>
      <c r="C3" s="4"/>
      <c r="D3" s="38" t="s">
        <v>2</v>
      </c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</row>
    <row r="4" spans="1:17" ht="14.25" customHeight="1">
      <c r="B4" s="4"/>
      <c r="C4" s="4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</row>
    <row r="5" spans="1:17" ht="1.5" customHeight="1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4"/>
    </row>
    <row r="6" spans="1:17" ht="1.5" customHeight="1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</row>
    <row r="7" spans="1:17" ht="1.5" customHeight="1"/>
    <row r="8" spans="1:17" ht="20.100000000000001" customHeight="1">
      <c r="A8" s="5" t="s">
        <v>3</v>
      </c>
      <c r="B8" s="40" t="s">
        <v>4</v>
      </c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</row>
    <row r="9" spans="1:17" ht="12.75" customHeight="1">
      <c r="A9" s="2" t="s">
        <v>5</v>
      </c>
      <c r="B9" s="27" t="s">
        <v>6</v>
      </c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1:17">
      <c r="A10" s="2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</row>
    <row r="11" spans="1:17" ht="12.75" customHeight="1">
      <c r="A11" s="2" t="s">
        <v>7</v>
      </c>
      <c r="B11" s="26" t="s">
        <v>8</v>
      </c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</row>
    <row r="12" spans="1:17" ht="12.75" customHeight="1">
      <c r="A12" s="12" t="s">
        <v>9</v>
      </c>
      <c r="B12" s="41" t="s">
        <v>10</v>
      </c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</row>
    <row r="13" spans="1:17" ht="12.75" customHeight="1">
      <c r="A13" s="12" t="s">
        <v>11</v>
      </c>
      <c r="B13" s="26" t="s">
        <v>12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</row>
    <row r="14" spans="1:17" ht="12.75" customHeight="1">
      <c r="A14" s="2"/>
      <c r="B14" s="26"/>
      <c r="C14" s="26"/>
      <c r="D14" s="26"/>
      <c r="E14" s="26"/>
      <c r="F14" s="26"/>
      <c r="G14" s="26"/>
      <c r="H14" s="26"/>
      <c r="I14" s="26"/>
      <c r="J14" s="44" t="s">
        <v>13</v>
      </c>
      <c r="K14" s="44"/>
      <c r="L14" s="44"/>
      <c r="M14" s="44"/>
      <c r="N14" s="27" t="s">
        <v>14</v>
      </c>
      <c r="O14" s="27"/>
      <c r="P14" s="27"/>
      <c r="Q14" s="27"/>
    </row>
    <row r="15" spans="1:17" ht="12.75" customHeight="1">
      <c r="A15" s="2" t="s">
        <v>15</v>
      </c>
      <c r="B15" s="26" t="s">
        <v>16</v>
      </c>
      <c r="C15" s="26"/>
      <c r="D15" s="26"/>
      <c r="E15" s="26"/>
      <c r="F15" s="26"/>
      <c r="G15" s="26"/>
      <c r="H15" s="26"/>
      <c r="I15" s="26"/>
      <c r="J15" s="44" t="s">
        <v>17</v>
      </c>
      <c r="K15" s="44"/>
      <c r="L15" s="44"/>
      <c r="M15" s="44"/>
      <c r="N15" s="27" t="s">
        <v>18</v>
      </c>
      <c r="O15" s="27"/>
      <c r="P15" s="27"/>
      <c r="Q15" s="27"/>
    </row>
    <row r="16" spans="1:17" ht="12.75" customHeight="1">
      <c r="A16" s="2" t="s">
        <v>19</v>
      </c>
      <c r="B16" s="26" t="s">
        <v>20</v>
      </c>
      <c r="C16" s="26"/>
      <c r="D16" s="26"/>
      <c r="E16" s="26"/>
      <c r="F16" s="26"/>
      <c r="G16" s="26"/>
      <c r="H16" s="26"/>
      <c r="I16" s="26"/>
      <c r="J16" s="44" t="s">
        <v>21</v>
      </c>
      <c r="K16" s="44"/>
      <c r="L16" s="44"/>
      <c r="M16" s="44"/>
      <c r="N16" s="27" t="s">
        <v>22</v>
      </c>
      <c r="O16" s="27"/>
      <c r="P16" s="27"/>
      <c r="Q16" s="27"/>
    </row>
    <row r="17" spans="1:17" ht="12.75" customHeight="1">
      <c r="A17" s="2"/>
      <c r="B17" s="36"/>
      <c r="C17" s="36"/>
      <c r="D17" s="36"/>
      <c r="E17" s="36"/>
      <c r="F17" s="36"/>
      <c r="G17" s="36"/>
      <c r="H17" s="36"/>
      <c r="I17" s="36"/>
      <c r="J17" s="37" t="s">
        <v>23</v>
      </c>
      <c r="K17" s="37"/>
      <c r="L17" s="37"/>
      <c r="M17" s="37"/>
      <c r="N17" s="27" t="s">
        <v>24</v>
      </c>
      <c r="O17" s="27"/>
      <c r="P17" s="27"/>
      <c r="Q17" s="27"/>
    </row>
    <row r="18" spans="1:17" ht="12.75" customHeight="1">
      <c r="A18" s="2" t="s">
        <v>25</v>
      </c>
      <c r="B18" s="26" t="s">
        <v>26</v>
      </c>
      <c r="C18" s="26"/>
      <c r="D18" s="26"/>
      <c r="E18" s="26"/>
      <c r="F18" s="26"/>
      <c r="G18" s="26"/>
      <c r="H18" s="26"/>
      <c r="I18" s="26"/>
      <c r="J18" s="44" t="s">
        <v>27</v>
      </c>
      <c r="K18" s="44"/>
      <c r="L18" s="44"/>
      <c r="M18" s="44"/>
      <c r="N18" s="27" t="s">
        <v>66</v>
      </c>
      <c r="O18" s="27"/>
      <c r="P18" s="27"/>
      <c r="Q18" s="27"/>
    </row>
    <row r="19" spans="1:17" ht="1.5" customHeight="1">
      <c r="C19" s="2"/>
    </row>
    <row r="20" spans="1:17" ht="22.5" customHeight="1">
      <c r="A20" s="28"/>
      <c r="B20" s="28"/>
      <c r="C20" s="28"/>
      <c r="D20" s="28"/>
      <c r="E20" s="28"/>
      <c r="F20" s="28"/>
      <c r="G20" s="28"/>
      <c r="H20" s="28"/>
    </row>
    <row r="21" spans="1:17" ht="15.75" customHeight="1">
      <c r="A21" s="31" t="s">
        <v>29</v>
      </c>
      <c r="B21" s="31"/>
      <c r="C21" s="31"/>
      <c r="D21" s="31" t="s">
        <v>30</v>
      </c>
      <c r="E21" s="29" t="s">
        <v>31</v>
      </c>
      <c r="F21" s="29" t="s">
        <v>32</v>
      </c>
      <c r="G21" s="29" t="s">
        <v>33</v>
      </c>
    </row>
    <row r="22" spans="1:17" ht="15" customHeight="1">
      <c r="A22" s="31"/>
      <c r="B22" s="31"/>
      <c r="C22" s="31"/>
      <c r="D22" s="31"/>
      <c r="E22" s="29"/>
      <c r="F22" s="29"/>
      <c r="G22" s="29"/>
    </row>
    <row r="23" spans="1:17" ht="15.75" customHeight="1">
      <c r="A23" s="31"/>
      <c r="B23" s="31"/>
      <c r="C23" s="31"/>
      <c r="D23" s="31"/>
      <c r="E23" s="29"/>
      <c r="F23" s="29"/>
      <c r="G23" s="29"/>
    </row>
    <row r="24" spans="1:17" ht="15.75" customHeight="1">
      <c r="A24" s="31"/>
      <c r="B24" s="31"/>
      <c r="C24" s="31"/>
      <c r="D24" s="31"/>
      <c r="E24" s="30" t="s">
        <v>34</v>
      </c>
      <c r="F24" s="30"/>
      <c r="G24" s="11" t="s">
        <v>35</v>
      </c>
    </row>
    <row r="25" spans="1:17" ht="15.95" customHeight="1">
      <c r="A25" s="32" t="s">
        <v>67</v>
      </c>
      <c r="B25" s="33"/>
      <c r="C25" s="33"/>
      <c r="D25" s="13" t="s">
        <v>68</v>
      </c>
      <c r="E25" s="15">
        <v>0.86</v>
      </c>
      <c r="F25" s="22">
        <v>2.5499999999999998</v>
      </c>
      <c r="G25" s="16">
        <f>+(1-(E25/F25))*100</f>
        <v>66.274509803921561</v>
      </c>
    </row>
    <row r="26" spans="1:17" ht="15.95" customHeight="1">
      <c r="A26" s="34" t="s">
        <v>69</v>
      </c>
      <c r="B26" s="35"/>
      <c r="C26" s="35"/>
      <c r="D26" s="14" t="s">
        <v>70</v>
      </c>
      <c r="E26" s="17">
        <v>0.83</v>
      </c>
      <c r="F26" s="23">
        <v>2.6</v>
      </c>
      <c r="G26" s="18">
        <f t="shared" ref="G26:G33" si="0">+(1-(E26/F26))*100</f>
        <v>68.07692307692308</v>
      </c>
    </row>
    <row r="27" spans="1:17" ht="15.95" customHeight="1">
      <c r="A27" s="34" t="s">
        <v>71</v>
      </c>
      <c r="B27" s="35"/>
      <c r="C27" s="35"/>
      <c r="D27" s="14" t="s">
        <v>72</v>
      </c>
      <c r="E27" s="17">
        <v>0.91</v>
      </c>
      <c r="F27" s="23">
        <v>2.4900000000000002</v>
      </c>
      <c r="G27" s="18">
        <f t="shared" si="0"/>
        <v>63.453815261044177</v>
      </c>
    </row>
    <row r="28" spans="1:17" ht="15.95" customHeight="1">
      <c r="A28" s="34" t="s">
        <v>73</v>
      </c>
      <c r="B28" s="35"/>
      <c r="C28" s="35"/>
      <c r="D28" s="14" t="s">
        <v>74</v>
      </c>
      <c r="E28" s="17">
        <v>1</v>
      </c>
      <c r="F28" s="23">
        <v>2.4500000000000002</v>
      </c>
      <c r="G28" s="18">
        <f t="shared" si="0"/>
        <v>59.183673469387756</v>
      </c>
    </row>
    <row r="29" spans="1:17" ht="15.95" customHeight="1">
      <c r="A29" s="34" t="s">
        <v>75</v>
      </c>
      <c r="B29" s="35"/>
      <c r="C29" s="35"/>
      <c r="D29" s="14" t="s">
        <v>76</v>
      </c>
      <c r="E29" s="17">
        <v>1</v>
      </c>
      <c r="F29" s="23">
        <v>2.4700000000000002</v>
      </c>
      <c r="G29" s="18">
        <f t="shared" si="0"/>
        <v>59.514170040485823</v>
      </c>
    </row>
    <row r="30" spans="1:17" ht="15.95" customHeight="1">
      <c r="A30" s="34" t="s">
        <v>77</v>
      </c>
      <c r="B30" s="35"/>
      <c r="C30" s="35"/>
      <c r="D30" s="14" t="s">
        <v>78</v>
      </c>
      <c r="E30" s="17">
        <v>0.86</v>
      </c>
      <c r="F30" s="23">
        <v>2.4900000000000002</v>
      </c>
      <c r="G30" s="18">
        <f t="shared" si="0"/>
        <v>65.46184738955823</v>
      </c>
    </row>
    <row r="31" spans="1:17" ht="15.95" customHeight="1">
      <c r="A31" s="34" t="s">
        <v>79</v>
      </c>
      <c r="B31" s="35"/>
      <c r="C31" s="35"/>
      <c r="D31" s="14" t="s">
        <v>80</v>
      </c>
      <c r="E31" s="17">
        <v>0.9</v>
      </c>
      <c r="F31" s="23">
        <v>2.4700000000000002</v>
      </c>
      <c r="G31" s="18">
        <f t="shared" si="0"/>
        <v>63.56275303643725</v>
      </c>
    </row>
    <row r="32" spans="1:17" ht="15.95" customHeight="1">
      <c r="A32" s="34" t="s">
        <v>81</v>
      </c>
      <c r="B32" s="35"/>
      <c r="C32" s="35"/>
      <c r="D32" s="14" t="s">
        <v>82</v>
      </c>
      <c r="E32" s="17">
        <v>0.95</v>
      </c>
      <c r="F32" s="23">
        <v>2.4900000000000002</v>
      </c>
      <c r="G32" s="18">
        <f t="shared" si="0"/>
        <v>61.847389558232933</v>
      </c>
    </row>
    <row r="33" spans="1:7" ht="15.95" customHeight="1">
      <c r="A33" s="42" t="s">
        <v>83</v>
      </c>
      <c r="B33" s="43"/>
      <c r="C33" s="43"/>
      <c r="D33" s="19" t="s">
        <v>84</v>
      </c>
      <c r="E33" s="20">
        <v>0.96</v>
      </c>
      <c r="F33" s="24">
        <v>2.4700000000000002</v>
      </c>
      <c r="G33" s="21">
        <f t="shared" si="0"/>
        <v>61.133603238866407</v>
      </c>
    </row>
    <row r="34" spans="1:7" ht="15.75" customHeight="1">
      <c r="A34" s="6"/>
      <c r="B34" s="6"/>
      <c r="C34" s="6"/>
      <c r="D34" s="8"/>
    </row>
    <row r="35" spans="1:7" ht="15.75" customHeight="1">
      <c r="A35" s="6"/>
      <c r="B35" s="6"/>
      <c r="C35" s="6"/>
      <c r="D35" s="8"/>
    </row>
    <row r="36" spans="1:7" ht="15.95" customHeight="1">
      <c r="A36" s="6"/>
      <c r="B36" s="6"/>
      <c r="C36" s="6"/>
      <c r="D36" s="8"/>
    </row>
    <row r="37" spans="1:7" ht="15.95" customHeight="1">
      <c r="A37" s="6"/>
      <c r="B37" s="6"/>
      <c r="C37" s="6"/>
      <c r="D37" s="8"/>
    </row>
    <row r="38" spans="1:7" ht="15.95" customHeight="1">
      <c r="A38" s="6"/>
      <c r="B38" s="6"/>
      <c r="C38" s="6"/>
      <c r="D38" s="8"/>
    </row>
    <row r="39" spans="1:7" ht="15.95" customHeight="1">
      <c r="A39" s="6"/>
      <c r="B39" s="6"/>
      <c r="C39" s="6"/>
      <c r="D39" s="8"/>
    </row>
    <row r="40" spans="1:7" ht="15.95" customHeight="1">
      <c r="A40" s="6"/>
      <c r="B40" s="6"/>
      <c r="C40" s="6"/>
      <c r="D40" s="8"/>
    </row>
    <row r="41" spans="1:7" ht="15.95" customHeight="1">
      <c r="A41" s="6"/>
      <c r="B41" s="6"/>
      <c r="C41" s="6"/>
      <c r="D41" s="8"/>
    </row>
    <row r="42" spans="1:7" ht="15.75" customHeight="1">
      <c r="A42" s="6"/>
      <c r="B42" s="6"/>
      <c r="C42" s="6"/>
      <c r="D42" s="8"/>
    </row>
    <row r="43" spans="1:7" ht="15.75" customHeight="1">
      <c r="A43" s="6"/>
      <c r="B43" s="6"/>
      <c r="C43" s="6"/>
      <c r="D43" s="8"/>
    </row>
    <row r="44" spans="1:7" ht="15.75" customHeight="1">
      <c r="A44" s="6"/>
      <c r="B44" s="6"/>
      <c r="C44" s="6"/>
      <c r="D44" s="8"/>
    </row>
    <row r="45" spans="1:7" ht="15.75" customHeight="1">
      <c r="A45" s="6"/>
      <c r="B45" s="6"/>
      <c r="C45" s="6"/>
      <c r="D45" s="8"/>
    </row>
    <row r="46" spans="1:7" ht="15.75" customHeight="1">
      <c r="A46" s="6"/>
      <c r="B46" s="6"/>
      <c r="C46" s="6"/>
      <c r="D46" s="8"/>
    </row>
    <row r="47" spans="1:7" ht="15.75" customHeight="1">
      <c r="A47" s="6"/>
      <c r="B47" s="6"/>
      <c r="C47" s="6"/>
      <c r="D47" s="8"/>
    </row>
    <row r="48" spans="1:7" ht="15.75" customHeight="1">
      <c r="B48" s="7"/>
      <c r="C48" s="7"/>
      <c r="D48" s="9"/>
    </row>
    <row r="49" spans="1:18" ht="1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</row>
    <row r="50" spans="1:18" ht="1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</row>
    <row r="51" spans="1:18">
      <c r="A51" s="7"/>
      <c r="B51" s="7"/>
      <c r="C51" s="7"/>
      <c r="D51" s="9"/>
    </row>
    <row r="52" spans="1:18">
      <c r="A52" s="7"/>
      <c r="B52" s="7"/>
      <c r="C52" s="7"/>
      <c r="D52" s="9"/>
    </row>
    <row r="53" spans="1:18">
      <c r="A53" s="7"/>
      <c r="B53" s="7"/>
      <c r="C53" s="7"/>
      <c r="D53" s="9"/>
    </row>
    <row r="54" spans="1:18" ht="9" customHeight="1">
      <c r="A54" s="7"/>
      <c r="B54" s="7"/>
      <c r="C54" s="7"/>
      <c r="D54" s="9"/>
    </row>
    <row r="55" spans="1:18" ht="9" customHeight="1">
      <c r="A55" s="7"/>
      <c r="B55" s="7"/>
      <c r="C55" s="7"/>
      <c r="D55" s="9"/>
    </row>
    <row r="56" spans="1:18" ht="9" customHeight="1">
      <c r="A56" s="7"/>
      <c r="B56" s="7"/>
      <c r="C56" s="7"/>
      <c r="D56" s="9"/>
    </row>
    <row r="57" spans="1:18">
      <c r="A57" s="7"/>
      <c r="B57" s="7"/>
      <c r="C57" s="7"/>
      <c r="D57" s="9"/>
    </row>
    <row r="58" spans="1:18">
      <c r="A58" s="7"/>
      <c r="B58" s="7"/>
      <c r="C58" s="7"/>
      <c r="D58" s="9"/>
    </row>
    <row r="59" spans="1:18">
      <c r="A59" s="7"/>
      <c r="B59" s="7"/>
      <c r="C59" s="7"/>
      <c r="D59" s="9"/>
    </row>
    <row r="60" spans="1:18">
      <c r="A60" s="7"/>
      <c r="B60" s="7"/>
      <c r="C60" s="7"/>
      <c r="D60" s="9"/>
    </row>
    <row r="61" spans="1:18">
      <c r="A61" s="7"/>
      <c r="B61" s="7"/>
      <c r="C61" s="7"/>
      <c r="D61" s="9"/>
    </row>
    <row r="62" spans="1:18">
      <c r="A62" s="7"/>
      <c r="B62" s="7"/>
      <c r="C62" s="7"/>
      <c r="D62" s="9"/>
    </row>
    <row r="63" spans="1:18">
      <c r="A63" s="7"/>
      <c r="B63" s="7"/>
      <c r="C63" s="7"/>
      <c r="D63" s="9"/>
    </row>
  </sheetData>
  <mergeCells count="45">
    <mergeCell ref="A29:C29"/>
    <mergeCell ref="A30:C30"/>
    <mergeCell ref="A31:C31"/>
    <mergeCell ref="A32:C32"/>
    <mergeCell ref="A33:C33"/>
    <mergeCell ref="B13:Q13"/>
    <mergeCell ref="D1:O1"/>
    <mergeCell ref="D2:O2"/>
    <mergeCell ref="D3:O3"/>
    <mergeCell ref="D4:O4"/>
    <mergeCell ref="A5:N5"/>
    <mergeCell ref="A6:N6"/>
    <mergeCell ref="B8:Q8"/>
    <mergeCell ref="B9:Q9"/>
    <mergeCell ref="B10:Q10"/>
    <mergeCell ref="B11:Q11"/>
    <mergeCell ref="B12:Q12"/>
    <mergeCell ref="B14:I14"/>
    <mergeCell ref="J14:M14"/>
    <mergeCell ref="N14:Q14"/>
    <mergeCell ref="B15:I15"/>
    <mergeCell ref="J15:M15"/>
    <mergeCell ref="N15:Q15"/>
    <mergeCell ref="B16:I16"/>
    <mergeCell ref="J16:M16"/>
    <mergeCell ref="N16:Q16"/>
    <mergeCell ref="B17:I17"/>
    <mergeCell ref="J17:M17"/>
    <mergeCell ref="N17:Q17"/>
    <mergeCell ref="A49:R49"/>
    <mergeCell ref="A50:R50"/>
    <mergeCell ref="B18:I18"/>
    <mergeCell ref="J18:M18"/>
    <mergeCell ref="N18:Q18"/>
    <mergeCell ref="A20:H20"/>
    <mergeCell ref="A21:C24"/>
    <mergeCell ref="D21:D24"/>
    <mergeCell ref="E21:E23"/>
    <mergeCell ref="F21:F23"/>
    <mergeCell ref="G21:G23"/>
    <mergeCell ref="E24:F24"/>
    <mergeCell ref="A25:C25"/>
    <mergeCell ref="A26:C26"/>
    <mergeCell ref="A27:C27"/>
    <mergeCell ref="A28:C28"/>
  </mergeCells>
  <pageMargins left="0.39370078740157483" right="0.27559055118110237" top="0.23622047244094491" bottom="0.35433070866141736" header="0" footer="0"/>
  <pageSetup scale="79" orientation="portrait" horizontalDpi="4294967294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MANUEL HIDALGO CAMPOS</dc:creator>
  <cp:keywords/>
  <dc:description/>
  <cp:lastModifiedBy>MANUEL ANTONIO QUIROS MONGE</cp:lastModifiedBy>
  <cp:revision/>
  <dcterms:created xsi:type="dcterms:W3CDTF">2005-11-21T21:38:59Z</dcterms:created>
  <dcterms:modified xsi:type="dcterms:W3CDTF">2026-08-25T17:02:17Z</dcterms:modified>
  <cp:category/>
  <cp:contentStatus/>
</cp:coreProperties>
</file>