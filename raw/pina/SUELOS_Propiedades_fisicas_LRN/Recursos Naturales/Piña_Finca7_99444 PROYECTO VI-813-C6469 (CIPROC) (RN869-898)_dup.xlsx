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Recursos Naturales/"/>
    </mc:Choice>
  </mc:AlternateContent>
  <xr:revisionPtr revIDLastSave="5" documentId="8_{3101CD46-089D-4B55-9198-5892B84B87B7}" xr6:coauthVersionLast="47" xr6:coauthVersionMax="47" xr10:uidLastSave="{D100899B-0565-47A3-8B74-B508FF60C595}"/>
  <bookViews>
    <workbookView xWindow="-120" yWindow="-120" windowWidth="24240" windowHeight="13140" xr2:uid="{00000000-000D-0000-FFFF-FFFF00000000}"/>
  </bookViews>
  <sheets>
    <sheet name="26-00884 - 26-00898" sheetId="37" r:id="rId1"/>
  </sheets>
  <definedNames>
    <definedName name="_xlnm.Print_Area" localSheetId="0">'26-00884 - 26-00898'!$A$1:$R$55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37" l="1"/>
  <c r="K26" i="37"/>
  <c r="K24" i="3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<sst xmlns="http://schemas.openxmlformats.org/spreadsheetml/2006/main" count="53" uniqueCount="49">
  <si>
    <t>CENTRO DE INVESTIGACIONES AGRONÓMICAS</t>
  </si>
  <si>
    <t>LABORATORIO DE RECURSOS NATURALES</t>
  </si>
  <si>
    <t>REPORTE DE ENSAYO</t>
  </si>
  <si>
    <t>Nº DE REPORTE:</t>
  </si>
  <si>
    <t>99444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</si>
  <si>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</si>
  <si>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</si>
  <si>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</si>
  <si>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</si>
  <si>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</si>
  <si>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</si>
  <si>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</si>
  <si>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</si>
  <si>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</si>
  <si>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Ret H (2 pts), Est_Agr.,TEXT,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</si>
  <si>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</si>
  <si>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</si>
  <si>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</si>
  <si>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</si>
  <si>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</si>
  <si>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</si>
  <si>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</si>
  <si>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14/05/2026 </t>
  </si>
  <si>
    <t>Nº DE MUESTRAS TOTAL:</t>
  </si>
  <si>
    <t>CULTIVO:</t>
  </si>
  <si>
    <t>PIÑA Y BOSQUE</t>
  </si>
  <si>
    <t>PÁGINA:</t>
  </si>
  <si>
    <t>ID USUARIO</t>
  </si>
  <si>
    <t>ID LAB</t>
  </si>
  <si>
    <t>ARENA</t>
  </si>
  <si>
    <t>LIMO</t>
  </si>
  <si>
    <t>ARCILLA</t>
  </si>
  <si>
    <t>Clase textural</t>
  </si>
  <si>
    <t xml:space="preserve"> Retención de humedad </t>
  </si>
  <si>
    <t xml:space="preserve">Estabilidad de agregados </t>
  </si>
  <si>
    <t>Humedad gravimétrica (%)</t>
  </si>
  <si>
    <t>Agua útil</t>
  </si>
  <si>
    <t>(%)</t>
  </si>
  <si>
    <t>(0,33 bar)</t>
  </si>
  <si>
    <t>(15 bar)</t>
  </si>
  <si>
    <t>Arcilloso</t>
  </si>
  <si>
    <t>PIÑA 7 (ADRIAN RODRIGRUEZ) R1</t>
  </si>
  <si>
    <t>RN-26-00884</t>
  </si>
  <si>
    <t>PIÑA 7 (ADRIAN RODRIGRUEZ) R2</t>
  </si>
  <si>
    <t>RN-26-00885</t>
  </si>
  <si>
    <t>PIÑA 7 (ADRIAN RODRIGRUEZ) R3</t>
  </si>
  <si>
    <t>RN-26-00886</t>
  </si>
  <si>
    <t>3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</si>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</sst>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</cellStyleXfs>
  <cellXfs count="83"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>
      <alignment vertical="top" wrapText="1" readingOrder="1"/>
    </xf>
    <xf numFmtId="0" fontId="2" fillId="0" borderId="0" xfId="0" applyFont="1" applyAlignment="1">
      <alignment horizontal="center"/>
    </xf>
    <xf numFmtId="0" fontId="4" fillId="0" borderId="0" xfId="0" applyFont="1" applyAlignment="1"/>
    <xf numFmtId="0" fontId="6" fillId="0" borderId="0" xfId="0" applyFont="1" applyAlignment="1"/>
    <xf numFmtId="49" fontId="9" fillId="0" borderId="0" xfId="0" applyNumberFormat="1" applyFont="1" applyAlignment="1"/>
    <xf numFmtId="49" fontId="2" fillId="0" borderId="0" xfId="0" applyNumberFormat="1" applyFont="1" applyAlignment="1"/>
    <xf numFmtId="49" fontId="9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6" fillId="0" borderId="2" xfId="12" applyFont="1" applyBorder="1" applyAlignment="1">
      <alignment horizontal="center" vertical="center"/>
    </xf>
    <xf numFmtId="0" fontId="11" fillId="0" borderId="2" xfId="6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 readingOrder="1"/>
    </xf>
    <xf numFmtId="49" fontId="9" fillId="0" borderId="3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9" fillId="0" borderId="8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9" fillId="0" borderId="10" xfId="0" applyNumberFormat="1" applyFont="1" applyBorder="1" applyAlignment="1">
      <alignment horizontal="left"/>
    </xf>
    <xf numFmtId="49" fontId="9" fillId="0" borderId="11" xfId="0" applyNumberFormat="1" applyFont="1" applyBorder="1" applyAlignment="1">
      <alignment horizontal="left"/>
    </xf>
    <xf numFmtId="49" fontId="3" fillId="0" borderId="0" xfId="0" applyNumberFormat="1" applyFont="1" applyAlignment="1">
      <alignment horizontal="left" vertical="top" wrapText="1" readingOrder="1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6" fillId="0" borderId="3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 wrapText="1"/>
    </xf>
    <xf numFmtId="0" fontId="6" fillId="0" borderId="5" xfId="6" applyFont="1" applyBorder="1" applyAlignment="1">
      <alignment horizontal="center" vertical="center" wrapText="1"/>
    </xf>
    <xf numFmtId="0" fontId="6" fillId="0" borderId="6" xfId="6" applyFont="1" applyBorder="1" applyAlignment="1">
      <alignment horizontal="center" vertical="center" wrapText="1"/>
    </xf>
    <xf numFmtId="0" fontId="6" fillId="0" borderId="7" xfId="6" applyFont="1" applyBorder="1" applyAlignment="1">
      <alignment horizontal="center" vertical="center" wrapText="1"/>
    </xf>
    <xf numFmtId="0" fontId="6" fillId="0" borderId="3" xfId="6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6" fillId="0" borderId="3" xfId="12" applyFont="1" applyBorder="1" applyAlignment="1">
      <alignment horizontal="center" vertical="center" wrapText="1"/>
    </xf>
    <xf numFmtId="0" fontId="6" fillId="0" borderId="4" xfId="12" applyFont="1" applyBorder="1" applyAlignment="1">
      <alignment horizontal="center" vertical="center" wrapText="1"/>
    </xf>
    <xf numFmtId="0" fontId="6" fillId="0" borderId="1" xfId="12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5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/>
    </xf>
  </cellXfs>
  <cellStyles count="19">
    <cellStyle name="Hyperlink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2 2" xfId="5" xr:uid="{00000000-0005-0000-0000-000004000000}"/>
    <cellStyle name="Normal 2 2 3" xfId="14" xr:uid="{00000000-0005-0000-0000-000005000000}"/>
    <cellStyle name="Normal 2 2 4" xfId="18" xr:uid="{00000000-0005-0000-0000-000006000000}"/>
    <cellStyle name="Normal 2 3" xfId="6" xr:uid="{00000000-0005-0000-0000-000007000000}"/>
    <cellStyle name="Normal 2 4" xfId="8" xr:uid="{00000000-0005-0000-0000-000008000000}"/>
    <cellStyle name="Normal 2 5" xfId="9" xr:uid="{00000000-0005-0000-0000-000009000000}"/>
    <cellStyle name="Normal 2 6" xfId="10" xr:uid="{00000000-0005-0000-0000-00000A000000}"/>
    <cellStyle name="Normal 2 7" xfId="11" xr:uid="{00000000-0005-0000-0000-00000B000000}"/>
    <cellStyle name="Normal 2 8" xfId="13" xr:uid="{00000000-0005-0000-0000-00000C000000}"/>
    <cellStyle name="Normal 2 9" xfId="17" xr:uid="{00000000-0005-0000-0000-00000D000000}"/>
    <cellStyle name="Normal 3" xfId="4" xr:uid="{00000000-0005-0000-0000-00000E000000}"/>
    <cellStyle name="Normal 4 2" xfId="7" xr:uid="{00000000-0005-0000-0000-00000F000000}"/>
    <cellStyle name="Normal 4 3" xfId="15" xr:uid="{00000000-0005-0000-0000-000010000000}"/>
    <cellStyle name="Normal 4 4" xfId="16" xr:uid="{00000000-0005-0000-0000-000011000000}"/>
    <cellStyle name="Normal 5" xfId="12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44</xdr:row>
      <xdr:rowOff>133350</xdr:rowOff>
    </xdr:from>
    <xdr:to>
      <xdr:col>14</xdr:col>
      <xdr:colOff>133350</xdr:colOff>
      <xdr:row>51</xdr:row>
      <xdr:rowOff>152402</xdr:rowOff>
    </xdr:to>
    <xdr:grpSp>
      <xdr:nvGrpSpPr>
        <xdr:cNvPr id="2" name="14 Grupo">
          <a:extLst>
            <a:ext uri="{FF2B5EF4-FFF2-40B4-BE49-F238E27FC236}">
              <a16:creationId xmlns:a16="http://schemas.microsoft.com/office/drawing/2014/main" id="{12D6BCA5-AF48-476C-BB7D-F937ACC361E2}"/>
            </a:ext>
          </a:extLst>
        </xdr:cNvPr>
        <xdr:cNvGrpSpPr/>
      </xdr:nvGrpSpPr>
      <xdr:grpSpPr>
        <a:xfrm>
          <a:off x="600075" y="8763000"/>
          <a:ext cx="13230225" cy="1504952"/>
          <a:chOff x="600075" y="8296275"/>
          <a:chExt cx="7010400" cy="1504952"/>
        </a:xfrm>
      </xdr:grpSpPr>
      <xdr:sp macro="" textlink="">
        <xdr:nvSpPr>
          <xdr:cNvPr id="3" name="13 CuadroTexto">
            <a:extLst>
              <a:ext uri="{FF2B5EF4-FFF2-40B4-BE49-F238E27FC236}">
                <a16:creationId xmlns:a16="http://schemas.microsoft.com/office/drawing/2014/main" id="{291AED7F-1738-9704-B1E9-2B4009F383C4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4" name="8 Grupo">
            <a:extLst>
              <a:ext uri="{FF2B5EF4-FFF2-40B4-BE49-F238E27FC236}">
                <a16:creationId xmlns:a16="http://schemas.microsoft.com/office/drawing/2014/main" id="{F1E85745-DBFF-5124-1D02-F5555C99196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5" name="CuadroTexto 6">
              <a:extLst>
                <a:ext uri="{FF2B5EF4-FFF2-40B4-BE49-F238E27FC236}">
                  <a16:creationId xmlns:a16="http://schemas.microsoft.com/office/drawing/2014/main" id="{B2461DF4-DDF0-F782-7C3F-09FF8C88D42E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6" name="Imagen 7">
              <a:extLst>
                <a:ext uri="{FF2B5EF4-FFF2-40B4-BE49-F238E27FC236}">
                  <a16:creationId xmlns:a16="http://schemas.microsoft.com/office/drawing/2014/main" id="{C1E565D6-1399-EFF9-A355-3959B2556AE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1EAF3491-E8D2-0714-6C9D-4622FBD0A977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E7CE12B5-AA62-3141-417B-150075840EC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9525</xdr:colOff>
      <xdr:row>52</xdr:row>
      <xdr:rowOff>76200</xdr:rowOff>
    </xdr:from>
    <xdr:to>
      <xdr:col>17</xdr:col>
      <xdr:colOff>9525</xdr:colOff>
      <xdr:row>55</xdr:row>
      <xdr:rowOff>38100</xdr:rowOff>
    </xdr:to>
    <xdr:sp macro="" textlink="">
      <xdr:nvSpPr>
        <xdr:cNvPr id="9" name="15 CuadroTexto">
          <a:extLst>
            <a:ext uri="{FF2B5EF4-FFF2-40B4-BE49-F238E27FC236}">
              <a16:creationId xmlns:a16="http://schemas.microsoft.com/office/drawing/2014/main" id="{90B5CBFB-BDFF-45E5-8B17-06439CA47281}"/>
            </a:ext>
          </a:extLst>
        </xdr:cNvPr>
        <xdr:cNvSpPr txBox="1"/>
      </xdr:nvSpPr>
      <xdr:spPr>
        <a:xfrm>
          <a:off x="9525" y="10629900"/>
          <a:ext cx="16316325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 4.</a:t>
          </a:r>
          <a:r>
            <a:rPr lang="es-CR" sz="8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El tiempo de custodia es de 30 días a partir del ingreso de la muestra  5</a:t>
          </a:r>
          <a:r>
            <a:rPr lang="es-CR" sz="800" baseline="0">
              <a:latin typeface="Arial" pitchFamily="34" charset="0"/>
              <a:cs typeface="Arial" pitchFamily="34" charset="0"/>
            </a:rPr>
            <a:t>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electrónico,</a:t>
          </a:r>
          <a:r>
            <a:rPr lang="es-CR" sz="800" baseline="0">
              <a:latin typeface="Arial" pitchFamily="34" charset="0"/>
              <a:cs typeface="Arial" pitchFamily="34" charset="0"/>
            </a:rPr>
            <a:t> </a:t>
          </a:r>
          <a:r>
            <a:rPr lang="es-CR" sz="800">
              <a:latin typeface="Arial" pitchFamily="34" charset="0"/>
              <a:cs typeface="Arial" pitchFamily="34" charset="0"/>
            </a:rPr>
            <a:t>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BF58-C6BB-4059-B9A7-07C2C8033772}">
  <sheetPr>
    <pageSetUpPr fitToPage="1"/>
  </sheetPr>
  <dimension ref="A1:R61"/>
  <sheetViews>
    <sheetView tabSelected="1" workbookViewId="0">
      <selection activeCell="N19" sqref="N19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15" width="17.42578125" style="1" customWidth="1"/>
    <col min="16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79" t="s">
        <v>0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Q1" s="13" t="e" vm="2">
        <v>#VALUE!</v>
      </c>
    </row>
    <row r="2" spans="1:17" ht="15.75" x14ac:dyDescent="0.25">
      <c r="D2" s="79" t="s">
        <v>1</v>
      </c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1:17" ht="15.75" x14ac:dyDescent="0.25">
      <c r="B3" s="4"/>
      <c r="C3" s="4"/>
      <c r="D3" s="79" t="s">
        <v>2</v>
      </c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</row>
    <row r="4" spans="1:17" ht="14.25" customHeight="1" x14ac:dyDescent="0.25">
      <c r="B4" s="4"/>
      <c r="C4" s="4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7" ht="1.5" customHeight="1" x14ac:dyDescent="0.25">
      <c r="A5" s="79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4"/>
    </row>
    <row r="6" spans="1:17" ht="1.5" customHeight="1" x14ac:dyDescent="0.25">
      <c r="A6" s="79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</row>
    <row r="7" spans="1:17" ht="1.5" customHeight="1" x14ac:dyDescent="0.2"/>
    <row r="8" spans="1:17" ht="20.100000000000001" customHeight="1" x14ac:dyDescent="0.3">
      <c r="A8" s="5" t="s">
        <v>3</v>
      </c>
      <c r="B8" s="81" t="s">
        <v>4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</row>
    <row r="9" spans="1:17" ht="12.75" customHeight="1" x14ac:dyDescent="0.2">
      <c r="A9" s="2" t="s">
        <v>5</v>
      </c>
      <c r="B9" s="39" t="s">
        <v>6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x14ac:dyDescent="0.2">
      <c r="A10" s="2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2.75" customHeight="1" x14ac:dyDescent="0.2">
      <c r="A11" s="2" t="s">
        <v>7</v>
      </c>
      <c r="B11" s="37" t="s">
        <v>8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</row>
    <row r="12" spans="1:17" ht="12.75" customHeight="1" x14ac:dyDescent="0.2">
      <c r="A12" s="14" t="s">
        <v>9</v>
      </c>
      <c r="B12" s="82" t="s">
        <v>10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</row>
    <row r="13" spans="1:17" ht="12.75" customHeight="1" x14ac:dyDescent="0.2">
      <c r="A13" s="14" t="s">
        <v>11</v>
      </c>
      <c r="B13" s="37" t="s">
        <v>12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</row>
    <row r="14" spans="1:17" ht="12.75" customHeight="1" x14ac:dyDescent="0.2">
      <c r="A14" s="2"/>
      <c r="B14" s="37"/>
      <c r="C14" s="37"/>
      <c r="D14" s="37"/>
      <c r="E14" s="37"/>
      <c r="F14" s="37"/>
      <c r="G14" s="37"/>
      <c r="H14" s="37"/>
      <c r="I14" s="37"/>
      <c r="J14" s="38" t="s">
        <v>13</v>
      </c>
      <c r="K14" s="38"/>
      <c r="L14" s="38"/>
      <c r="M14" s="38"/>
      <c r="N14" s="39" t="s">
        <v>14</v>
      </c>
      <c r="O14" s="39"/>
      <c r="P14" s="39"/>
      <c r="Q14" s="39"/>
    </row>
    <row r="15" spans="1:17" ht="12.75" customHeight="1" x14ac:dyDescent="0.2">
      <c r="A15" s="2" t="s">
        <v>15</v>
      </c>
      <c r="B15" s="37" t="s">
        <v>16</v>
      </c>
      <c r="C15" s="37"/>
      <c r="D15" s="37"/>
      <c r="E15" s="37"/>
      <c r="F15" s="37"/>
      <c r="G15" s="37"/>
      <c r="H15" s="37"/>
      <c r="I15" s="37"/>
      <c r="J15" s="38" t="s">
        <v>17</v>
      </c>
      <c r="K15" s="38"/>
      <c r="L15" s="38"/>
      <c r="M15" s="38"/>
      <c r="N15" s="39" t="s">
        <v>18</v>
      </c>
      <c r="O15" s="39"/>
      <c r="P15" s="39"/>
      <c r="Q15" s="39"/>
    </row>
    <row r="16" spans="1:17" ht="12.75" customHeight="1" x14ac:dyDescent="0.2">
      <c r="A16" s="2" t="s">
        <v>19</v>
      </c>
      <c r="B16" s="37" t="s">
        <v>20</v>
      </c>
      <c r="C16" s="37"/>
      <c r="D16" s="37"/>
      <c r="E16" s="37"/>
      <c r="F16" s="37"/>
      <c r="G16" s="37"/>
      <c r="H16" s="37"/>
      <c r="I16" s="37"/>
      <c r="J16" s="38" t="s">
        <v>21</v>
      </c>
      <c r="K16" s="38"/>
      <c r="L16" s="38"/>
      <c r="M16" s="38"/>
      <c r="N16" s="39" t="s">
        <v>22</v>
      </c>
      <c r="O16" s="39"/>
      <c r="P16" s="39"/>
      <c r="Q16" s="39"/>
    </row>
    <row r="17" spans="1:17" ht="12.75" customHeight="1" x14ac:dyDescent="0.2">
      <c r="A17" s="2"/>
      <c r="B17" s="68"/>
      <c r="C17" s="68"/>
      <c r="D17" s="68"/>
      <c r="E17" s="68"/>
      <c r="F17" s="68"/>
      <c r="G17" s="68"/>
      <c r="H17" s="68"/>
      <c r="I17" s="68"/>
      <c r="J17" s="69" t="s">
        <v>23</v>
      </c>
      <c r="K17" s="69"/>
      <c r="L17" s="69"/>
      <c r="M17" s="69"/>
      <c r="N17" s="39" t="s">
        <v>47</v>
      </c>
      <c r="O17" s="39"/>
      <c r="P17" s="39"/>
      <c r="Q17" s="39"/>
    </row>
    <row r="18" spans="1:17" ht="12.75" customHeight="1" x14ac:dyDescent="0.2">
      <c r="A18" s="2" t="s">
        <v>24</v>
      </c>
      <c r="B18" s="37" t="s">
        <v>25</v>
      </c>
      <c r="C18" s="37"/>
      <c r="D18" s="37"/>
      <c r="E18" s="37"/>
      <c r="F18" s="37"/>
      <c r="G18" s="37"/>
      <c r="H18" s="37"/>
      <c r="I18" s="37"/>
      <c r="J18" s="38" t="s">
        <v>26</v>
      </c>
      <c r="K18" s="38"/>
      <c r="L18" s="38"/>
      <c r="M18" s="38"/>
      <c r="N18" s="39" t="s">
        <v>48</v>
      </c>
      <c r="O18" s="39"/>
      <c r="P18" s="39"/>
      <c r="Q18" s="39"/>
    </row>
    <row r="19" spans="1:17" ht="12" customHeight="1" x14ac:dyDescent="0.2">
      <c r="C19" s="2"/>
    </row>
    <row r="20" spans="1:17" ht="15.75" customHeight="1" x14ac:dyDescent="0.2">
      <c r="A20" s="43" t="s">
        <v>27</v>
      </c>
      <c r="B20" s="44"/>
      <c r="C20" s="45"/>
      <c r="D20" s="52" t="s">
        <v>28</v>
      </c>
      <c r="E20" s="63" t="s">
        <v>29</v>
      </c>
      <c r="F20" s="70" t="s">
        <v>30</v>
      </c>
      <c r="G20" s="73" t="s">
        <v>31</v>
      </c>
      <c r="H20" s="40" t="s">
        <v>32</v>
      </c>
      <c r="I20" s="58" t="s">
        <v>33</v>
      </c>
      <c r="J20" s="59"/>
      <c r="K20" s="60"/>
      <c r="L20" s="76" t="s">
        <v>34</v>
      </c>
    </row>
    <row r="21" spans="1:17" ht="15.75" customHeight="1" x14ac:dyDescent="0.2">
      <c r="A21" s="46"/>
      <c r="B21" s="47"/>
      <c r="C21" s="48"/>
      <c r="D21" s="53"/>
      <c r="E21" s="64"/>
      <c r="F21" s="71"/>
      <c r="G21" s="74"/>
      <c r="H21" s="41"/>
      <c r="I21" s="57" t="s">
        <v>35</v>
      </c>
      <c r="J21" s="57"/>
      <c r="K21" s="61" t="s">
        <v>36</v>
      </c>
      <c r="L21" s="77"/>
    </row>
    <row r="22" spans="1:17" ht="15.75" customHeight="1" x14ac:dyDescent="0.2">
      <c r="A22" s="46"/>
      <c r="B22" s="47"/>
      <c r="C22" s="48"/>
      <c r="D22" s="53"/>
      <c r="E22" s="65"/>
      <c r="F22" s="72"/>
      <c r="G22" s="75"/>
      <c r="H22" s="41"/>
      <c r="I22" s="57"/>
      <c r="J22" s="57"/>
      <c r="K22" s="62"/>
      <c r="L22" s="78"/>
    </row>
    <row r="23" spans="1:17" ht="15.75" customHeight="1" x14ac:dyDescent="0.2">
      <c r="A23" s="49"/>
      <c r="B23" s="50"/>
      <c r="C23" s="51"/>
      <c r="D23" s="54"/>
      <c r="E23" s="55" t="s">
        <v>37</v>
      </c>
      <c r="F23" s="56"/>
      <c r="G23" s="56"/>
      <c r="H23" s="42"/>
      <c r="I23" s="11" t="s">
        <v>38</v>
      </c>
      <c r="J23" s="11" t="s">
        <v>39</v>
      </c>
      <c r="K23" s="12" t="s">
        <v>37</v>
      </c>
      <c r="L23" s="10" t="s">
        <v>37</v>
      </c>
    </row>
    <row r="24" spans="1:17" ht="15.95" customHeight="1" x14ac:dyDescent="0.2">
      <c r="A24" s="66" t="s">
        <v>41</v>
      </c>
      <c r="B24" s="67"/>
      <c r="C24" s="67"/>
      <c r="D24" s="15" t="s">
        <v>42</v>
      </c>
      <c r="E24" s="17">
        <v>7</v>
      </c>
      <c r="F24" s="22">
        <v>25</v>
      </c>
      <c r="G24" s="18">
        <v>68</v>
      </c>
      <c r="H24" s="22" t="s">
        <v>40</v>
      </c>
      <c r="I24" s="25">
        <v>40.39</v>
      </c>
      <c r="J24" s="28">
        <v>28.48</v>
      </c>
      <c r="K24" s="25">
        <f>+I24-J24</f>
        <v>11.91</v>
      </c>
      <c r="L24" s="22">
        <v>93</v>
      </c>
    </row>
    <row r="25" spans="1:17" ht="15.95" customHeight="1" x14ac:dyDescent="0.2">
      <c r="A25" s="33" t="s">
        <v>43</v>
      </c>
      <c r="B25" s="34"/>
      <c r="C25" s="34"/>
      <c r="D25" s="16" t="s">
        <v>44</v>
      </c>
      <c r="E25" s="19">
        <v>9</v>
      </c>
      <c r="F25" s="23">
        <v>23</v>
      </c>
      <c r="G25" s="13">
        <v>68</v>
      </c>
      <c r="H25" s="23" t="s">
        <v>40</v>
      </c>
      <c r="I25" s="26">
        <v>46.21</v>
      </c>
      <c r="J25" s="29">
        <v>28.35</v>
      </c>
      <c r="K25" s="26">
        <f t="shared" ref="K25:K26" si="0">+I25-J25</f>
        <v>17.86</v>
      </c>
      <c r="L25" s="23">
        <v>93</v>
      </c>
    </row>
    <row r="26" spans="1:17" ht="15.95" customHeight="1" x14ac:dyDescent="0.2">
      <c r="A26" s="35" t="s">
        <v>45</v>
      </c>
      <c r="B26" s="36"/>
      <c r="C26" s="36"/>
      <c r="D26" s="31" t="s">
        <v>46</v>
      </c>
      <c r="E26" s="20">
        <v>7</v>
      </c>
      <c r="F26" s="24">
        <v>27</v>
      </c>
      <c r="G26" s="21">
        <v>66</v>
      </c>
      <c r="H26" s="24" t="s">
        <v>40</v>
      </c>
      <c r="I26" s="27">
        <v>42.05</v>
      </c>
      <c r="J26" s="30">
        <v>28.52</v>
      </c>
      <c r="K26" s="27">
        <f t="shared" si="0"/>
        <v>13.529999999999998</v>
      </c>
      <c r="L26" s="24">
        <v>89</v>
      </c>
    </row>
    <row r="27" spans="1:17" ht="15.95" customHeight="1" x14ac:dyDescent="0.2">
      <c r="A27" s="6"/>
      <c r="B27" s="6"/>
      <c r="C27" s="6"/>
      <c r="D27" s="8"/>
    </row>
    <row r="28" spans="1:17" ht="15.95" customHeight="1" x14ac:dyDescent="0.2">
      <c r="A28" s="6"/>
      <c r="B28" s="6"/>
      <c r="C28" s="6"/>
      <c r="D28" s="8"/>
    </row>
    <row r="29" spans="1:17" ht="15.95" customHeight="1" x14ac:dyDescent="0.2">
      <c r="A29" s="6"/>
      <c r="B29" s="6"/>
      <c r="C29" s="6"/>
      <c r="D29" s="8"/>
    </row>
    <row r="30" spans="1:17" ht="15.95" customHeight="1" x14ac:dyDescent="0.2">
      <c r="A30" s="6"/>
      <c r="B30" s="6"/>
      <c r="C30" s="6"/>
      <c r="D30" s="8"/>
    </row>
    <row r="31" spans="1:17" ht="15.95" customHeight="1" x14ac:dyDescent="0.2">
      <c r="A31" s="6"/>
      <c r="B31" s="6"/>
      <c r="C31" s="6"/>
      <c r="D31" s="8"/>
    </row>
    <row r="32" spans="1:17" ht="15.95" customHeight="1" x14ac:dyDescent="0.2">
      <c r="A32" s="6"/>
      <c r="B32" s="6"/>
      <c r="C32" s="6"/>
      <c r="D32" s="8"/>
    </row>
    <row r="33" spans="1:12" ht="15.95" customHeight="1" x14ac:dyDescent="0.2">
      <c r="A33" s="6"/>
      <c r="B33" s="6"/>
      <c r="C33" s="6"/>
      <c r="D33" s="8"/>
    </row>
    <row r="34" spans="1:12" ht="15.95" customHeight="1" x14ac:dyDescent="0.2">
      <c r="A34" s="6"/>
      <c r="B34" s="6"/>
      <c r="C34" s="6"/>
      <c r="D34" s="8"/>
    </row>
    <row r="35" spans="1:12" ht="15.95" customHeight="1" x14ac:dyDescent="0.2">
      <c r="A35" s="6"/>
      <c r="B35" s="6"/>
      <c r="C35" s="6"/>
      <c r="D35" s="8"/>
    </row>
    <row r="36" spans="1:12" ht="15.95" customHeight="1" x14ac:dyDescent="0.2">
      <c r="A36" s="6"/>
      <c r="B36" s="6"/>
      <c r="C36" s="6"/>
      <c r="D36" s="8"/>
    </row>
    <row r="37" spans="1:12" ht="15.95" customHeight="1" x14ac:dyDescent="0.2">
      <c r="A37" s="6"/>
      <c r="B37" s="6"/>
      <c r="C37" s="6"/>
      <c r="D37" s="8"/>
    </row>
    <row r="38" spans="1:12" ht="15.95" customHeight="1" x14ac:dyDescent="0.2">
      <c r="A38" s="6"/>
      <c r="B38" s="6"/>
      <c r="C38" s="6"/>
      <c r="D38" s="8"/>
    </row>
    <row r="39" spans="1:12" ht="15.75" customHeight="1" x14ac:dyDescent="0.2">
      <c r="B39" s="7"/>
      <c r="C39" s="7"/>
      <c r="D39" s="9"/>
    </row>
    <row r="40" spans="1:12" ht="15.75" customHeight="1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</row>
    <row r="41" spans="1:12" ht="15.75" customHeight="1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</row>
    <row r="42" spans="1:12" ht="15.75" customHeight="1" x14ac:dyDescent="0.2">
      <c r="A42" s="7"/>
      <c r="B42" s="7"/>
      <c r="C42" s="7"/>
      <c r="D42" s="9"/>
    </row>
    <row r="43" spans="1:12" ht="15.75" customHeight="1" x14ac:dyDescent="0.2">
      <c r="A43" s="7"/>
      <c r="B43" s="7"/>
      <c r="C43" s="7"/>
      <c r="D43" s="9"/>
    </row>
    <row r="44" spans="1:12" ht="15.75" customHeight="1" x14ac:dyDescent="0.2">
      <c r="A44" s="7"/>
      <c r="B44" s="7"/>
      <c r="C44" s="7"/>
      <c r="D44" s="9"/>
    </row>
    <row r="45" spans="1:12" ht="15.75" customHeight="1" x14ac:dyDescent="0.2">
      <c r="A45" s="7"/>
      <c r="B45" s="7"/>
      <c r="C45" s="7"/>
      <c r="D45" s="9"/>
    </row>
    <row r="46" spans="1:12" ht="15.75" customHeight="1" x14ac:dyDescent="0.2">
      <c r="A46" s="7"/>
      <c r="B46" s="7"/>
      <c r="C46" s="7"/>
      <c r="D46" s="9"/>
    </row>
    <row r="47" spans="1:12" ht="15.75" customHeight="1" x14ac:dyDescent="0.2">
      <c r="A47" s="7"/>
      <c r="B47" s="7"/>
      <c r="C47" s="7"/>
      <c r="D47" s="9"/>
    </row>
    <row r="48" spans="1:12" ht="15.75" customHeight="1" x14ac:dyDescent="0.2">
      <c r="A48" s="7"/>
      <c r="B48" s="7"/>
      <c r="C48" s="7"/>
      <c r="D48" s="9"/>
    </row>
    <row r="49" spans="1:18" ht="18" customHeight="1" x14ac:dyDescent="0.2">
      <c r="A49" s="7"/>
      <c r="B49" s="7"/>
      <c r="C49" s="7"/>
      <c r="D49" s="9"/>
    </row>
    <row r="50" spans="1:18" ht="18" customHeight="1" x14ac:dyDescent="0.2">
      <c r="A50" s="7"/>
      <c r="B50" s="7"/>
      <c r="C50" s="7"/>
      <c r="D50" s="9"/>
    </row>
    <row r="51" spans="1:18" ht="18" customHeight="1" x14ac:dyDescent="0.2">
      <c r="A51" s="7"/>
      <c r="B51" s="7"/>
      <c r="C51" s="7"/>
      <c r="D51" s="9"/>
    </row>
    <row r="52" spans="1:18" ht="18" customHeight="1" x14ac:dyDescent="0.25">
      <c r="A52" s="7"/>
      <c r="B52" s="7"/>
      <c r="C52" s="7"/>
      <c r="D52" s="9"/>
      <c r="M52" s="32"/>
      <c r="N52" s="32"/>
      <c r="O52" s="32"/>
      <c r="P52" s="32"/>
      <c r="Q52" s="32"/>
      <c r="R52" s="32"/>
    </row>
    <row r="53" spans="1:18" ht="18" customHeight="1" x14ac:dyDescent="0.25">
      <c r="A53" s="7"/>
      <c r="B53" s="7"/>
      <c r="C53" s="7"/>
      <c r="D53" s="9"/>
      <c r="M53" s="32"/>
      <c r="N53" s="32"/>
      <c r="O53" s="32"/>
      <c r="P53" s="32"/>
      <c r="Q53" s="32"/>
      <c r="R53" s="32"/>
    </row>
    <row r="54" spans="1:18" ht="18" customHeight="1" x14ac:dyDescent="0.2">
      <c r="A54" s="7"/>
      <c r="B54" s="7"/>
      <c r="C54" s="7"/>
      <c r="D54" s="9"/>
    </row>
    <row r="55" spans="1:18" ht="18" customHeight="1" x14ac:dyDescent="0.2"/>
    <row r="56" spans="1:18" ht="18" customHeight="1" x14ac:dyDescent="0.2"/>
    <row r="57" spans="1:18" ht="18" customHeight="1" x14ac:dyDescent="0.2"/>
    <row r="58" spans="1:18" ht="18" customHeight="1" x14ac:dyDescent="0.2"/>
    <row r="59" spans="1:18" ht="18" customHeight="1" x14ac:dyDescent="0.2"/>
    <row r="60" spans="1:18" ht="18" customHeight="1" x14ac:dyDescent="0.2"/>
    <row r="61" spans="1:18" ht="18" customHeight="1" x14ac:dyDescent="0.2"/>
  </sheetData>
  <mergeCells count="41"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B18:I18"/>
    <mergeCell ref="J18:M18"/>
    <mergeCell ref="N18:Q18"/>
    <mergeCell ref="A20:C23"/>
    <mergeCell ref="D20:D23"/>
    <mergeCell ref="E20:E22"/>
    <mergeCell ref="F20:F22"/>
    <mergeCell ref="G20:G22"/>
    <mergeCell ref="H20:H23"/>
    <mergeCell ref="E23:G23"/>
    <mergeCell ref="I20:K20"/>
    <mergeCell ref="L20:L22"/>
    <mergeCell ref="I21:J22"/>
    <mergeCell ref="K21:K22"/>
    <mergeCell ref="A24:C24"/>
    <mergeCell ref="A25:C25"/>
    <mergeCell ref="A26:C26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6E02C493-9584-4A62-B8C9-FF7B54B2E0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AE0FDE-8539-4169-8B20-157C706B64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3C3260-4745-4264-ACBA-4033FE9CAF40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036eaf11-5a74-42e9-a09d-6613db23384a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26-00884 - 26-00898</vt:lpstr>
      <vt:lpstr>'26-00884 - 26-00898'!Área_de_impresión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MANUEL ANTONIO QUIROS MONGE</cp:lastModifiedBy>
  <cp:revision/>
  <dcterms:created xsi:type="dcterms:W3CDTF">2005-11-21T21:38:59Z</dcterms:created>
  <dcterms:modified xsi:type="dcterms:W3CDTF">2026-08-25T19:29:13Z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