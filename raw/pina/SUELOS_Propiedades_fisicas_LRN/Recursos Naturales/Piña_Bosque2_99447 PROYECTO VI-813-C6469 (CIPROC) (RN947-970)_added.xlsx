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b088a06617d4fb/Ejercicio 7/Documents/Work/CR/UCR_EA/Proyectos/Salud_del_suelo_pina_papa/Datos/raw/pina/SUELOS_Propiedades_fisicas_LRN/Recursos Naturales/"/>
    </mc:Choice>
  </mc:AlternateContent>
  <xr:revisionPtr revIDLastSave="8" documentId="8_{D9BD3021-DB1B-4EFC-96E1-7B83F73F5958}" xr6:coauthVersionLast="47" xr6:coauthVersionMax="47" xr10:uidLastSave="{27B46ADB-78BB-48B6-BEE2-1E02684E3360}"/>
  <bookViews>
    <workbookView xWindow="20370" yWindow="-9000" windowWidth="29040" windowHeight="17640" xr2:uid="{00000000-000D-0000-FFFF-FFFF00000000}"/>
  </bookViews>
  <sheets>
    <sheet name="26-00947 - 26-00961" sheetId="34" r:id="rId1"/>
  </sheets>
  <definedNames>
    <definedName name="_xlnm.Print_Area" localSheetId="0">'26-00947 - 26-00961'!$A$1:$R$52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34" l="1"/>
  <c r="G25" i="34"/>
  <c r="G26" i="34"/>
  <c r="G27" i="34"/>
  <c r="G28" i="34"/>
  <c r="G29" i="34"/>
  <c r="G30" i="34"/>
  <c r="G31" i="3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<sst xmlns="http://schemas.openxmlformats.org/spreadsheetml/2006/main" count="52" uniqueCount="52">
  <si>
    <t>CENTRO DE INVESTIGACIONES AGRONÓMICAS</t>
  </si>
  <si>
    <t>LABORATORIO DE RECURSOS NATURALES</t>
  </si>
  <si>
    <t>REPORTE DE ENSAYO</t>
  </si>
  <si>
    <t>Nº DE REPORTE:</t>
  </si>
  <si>
    <t>99447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</si>
  <si>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</si>
  <si>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</si>
  <si>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</si>
  <si>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</si>
  <si>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</si>
  <si>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</si>
  <si>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</si>
  <si>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</si>
  <si>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</si>
  <si>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DA_DP (Porosidad),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</si>
  <si>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</si>
  <si>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</si>
  <si>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</si>
  <si>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</si>
  <si>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</si>
  <si>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</si>
  <si>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</si>
  <si>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05/06/2026 </t>
  </si>
  <si>
    <t>Nº DE MUESTRAS TOTAL:</t>
  </si>
  <si>
    <t>CULTIVO:</t>
  </si>
  <si>
    <t>PIÑA Y BOSQUE</t>
  </si>
  <si>
    <t>PÁGINA:</t>
  </si>
  <si>
    <t>ID USUARIO</t>
  </si>
  <si>
    <t>ID LAB</t>
  </si>
  <si>
    <t xml:space="preserve">Densidad aparente  </t>
  </si>
  <si>
    <t>Densidad partículas</t>
  </si>
  <si>
    <t>Porosidad</t>
  </si>
  <si>
    <r>
      <t>(g cm</t>
    </r>
    <r>
      <rPr>
        <b/>
        <vertAlign val="superscript"/>
        <sz val="10"/>
        <rFont val="Arial"/>
        <family val="2"/>
      </rPr>
      <t>-3</t>
    </r>
    <r>
      <rPr>
        <b/>
        <sz val="10"/>
        <rFont val="Arial"/>
        <family val="2"/>
      </rPr>
      <t>)</t>
    </r>
  </si>
  <si>
    <t>(%)</t>
  </si>
  <si>
    <t>BOSQUE 2 (MISAEL ROJAS)R 1</t>
  </si>
  <si>
    <t>RN-26-00955</t>
  </si>
  <si>
    <t>BOSQUE 2 (MISAEL ROJAS)R 2</t>
  </si>
  <si>
    <t>RN-26-00956</t>
  </si>
  <si>
    <t>BOSQUE 2 (MISAEL ROJAS)R 3</t>
  </si>
  <si>
    <t>RN-26-00957</t>
  </si>
  <si>
    <t>BOSQUE 2 (MISAEL ROJAS)R 4</t>
  </si>
  <si>
    <t>RN-26-00958</t>
  </si>
  <si>
    <t>BOSQUE 2 (MISAEL ROJAS)R 5</t>
  </si>
  <si>
    <t>RN-26-00959</t>
  </si>
  <si>
    <t>BOSQUE 2 (MISAEL ROJAS)R 6</t>
  </si>
  <si>
    <t>RN-26-00960</t>
  </si>
  <si>
    <t>BOSQUE 2 (MISAEL ROJAS)R 7</t>
  </si>
  <si>
    <t>RN-26-00961</t>
  </si>
  <si>
    <t>BOSQUE 2 (MISAEL ROJAS)  R 8</t>
  </si>
  <si>
    <t>RN-26-00962</t>
  </si>
  <si>
    <t>8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</si>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</sst>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top"/>
    </xf>
    <xf numFmtId="0" fontId="1" fillId="0" borderId="0">
      <alignment vertical="top"/>
    </xf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39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49" fontId="8" fillId="0" borderId="0" xfId="0" applyNumberFormat="1" applyFont="1" applyAlignment="1"/>
    <xf numFmtId="49" fontId="1" fillId="0" borderId="0" xfId="0" applyNumberFormat="1" applyFont="1" applyAlignment="1"/>
    <xf numFmtId="49" fontId="8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 readingOrder="1"/>
    </xf>
    <xf numFmtId="49" fontId="8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/>
    </xf>
    <xf numFmtId="49" fontId="8" fillId="0" borderId="2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49" fontId="8" fillId="0" borderId="4" xfId="0" applyNumberFormat="1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49" fontId="8" fillId="0" borderId="6" xfId="0" applyNumberFormat="1" applyFont="1" applyBorder="1" applyAlignment="1">
      <alignment horizontal="left"/>
    </xf>
    <xf numFmtId="49" fontId="8" fillId="0" borderId="7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center" vertical="center" wrapText="1" readingOrder="1"/>
    </xf>
    <xf numFmtId="0" fontId="5" fillId="0" borderId="1" xfId="5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6">
    <cellStyle name="Hyperlink 2" xfId="2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3" xr:uid="{00000000-0005-0000-0000-000004000000}"/>
    <cellStyle name="Normal 5" xfId="5" xr:uid="{6B11D541-9FED-4B94-9850-F1F3682589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9" name="8 Grup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7886700"/>
          <a:ext cx="8267698" cy="1562099"/>
          <a:chOff x="600075" y="8296275"/>
          <a:chExt cx="7010398" cy="1562099"/>
        </a:xfrm>
      </xdr:grpSpPr>
      <xdr:sp macro="" textlink="">
        <xdr:nvSpPr>
          <xdr:cNvPr id="10" name="9 CuadroTexto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11" name="8 Grupo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Imagen 7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4" name="CuadroTexto 6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5" name="Picture 1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" y="9544050"/>
          <a:ext cx="866775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6"/>
  <sheetViews>
    <sheetView tabSelected="1" topLeftCell="A18" zoomScaleNormal="100" workbookViewId="0">
      <selection activeCell="A25" sqref="A25:G32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27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Q1" s="10" t="e" vm="2">
        <v>#VALUE!</v>
      </c>
    </row>
    <row r="2" spans="1:17" ht="15.75" x14ac:dyDescent="0.25">
      <c r="D2" s="27" t="s">
        <v>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7" ht="15.75" x14ac:dyDescent="0.25">
      <c r="B3" s="4"/>
      <c r="C3" s="4"/>
      <c r="D3" s="27" t="s">
        <v>2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7" ht="14.25" customHeight="1" x14ac:dyDescent="0.25">
      <c r="B4" s="4"/>
      <c r="C4" s="4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7" ht="1.5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4"/>
    </row>
    <row r="6" spans="1:17" ht="1.5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 spans="1:17" ht="1.5" customHeight="1" x14ac:dyDescent="0.2"/>
    <row r="8" spans="1:17" ht="20.100000000000001" customHeight="1" x14ac:dyDescent="0.3">
      <c r="A8" s="5" t="s">
        <v>3</v>
      </c>
      <c r="B8" s="29" t="s">
        <v>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</row>
    <row r="9" spans="1:17" ht="12.75" customHeight="1" x14ac:dyDescent="0.2">
      <c r="A9" s="2" t="s">
        <v>5</v>
      </c>
      <c r="B9" s="30" t="s">
        <v>6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</row>
    <row r="10" spans="1:17" x14ac:dyDescent="0.2">
      <c r="A10" s="2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</row>
    <row r="11" spans="1:17" ht="12.75" customHeight="1" x14ac:dyDescent="0.2">
      <c r="A11" s="2" t="s">
        <v>7</v>
      </c>
      <c r="B11" s="26" t="s">
        <v>8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1:17" ht="12.75" customHeight="1" x14ac:dyDescent="0.2">
      <c r="A12" s="12" t="s">
        <v>9</v>
      </c>
      <c r="B12" s="31" t="s">
        <v>10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</row>
    <row r="13" spans="1:17" ht="12.75" customHeight="1" x14ac:dyDescent="0.2">
      <c r="A13" s="12" t="s">
        <v>11</v>
      </c>
      <c r="B13" s="26" t="s">
        <v>12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1:17" ht="12.75" customHeight="1" x14ac:dyDescent="0.2">
      <c r="A14" s="2"/>
      <c r="B14" s="26"/>
      <c r="C14" s="26"/>
      <c r="D14" s="26"/>
      <c r="E14" s="26"/>
      <c r="F14" s="26"/>
      <c r="G14" s="26"/>
      <c r="H14" s="26"/>
      <c r="I14" s="26"/>
      <c r="J14" s="32" t="s">
        <v>13</v>
      </c>
      <c r="K14" s="32"/>
      <c r="L14" s="32"/>
      <c r="M14" s="32"/>
      <c r="N14" s="30" t="s">
        <v>14</v>
      </c>
      <c r="O14" s="30"/>
      <c r="P14" s="30"/>
      <c r="Q14" s="30"/>
    </row>
    <row r="15" spans="1:17" ht="12.75" customHeight="1" x14ac:dyDescent="0.2">
      <c r="A15" s="2" t="s">
        <v>15</v>
      </c>
      <c r="B15" s="26" t="s">
        <v>16</v>
      </c>
      <c r="C15" s="26"/>
      <c r="D15" s="26"/>
      <c r="E15" s="26"/>
      <c r="F15" s="26"/>
      <c r="G15" s="26"/>
      <c r="H15" s="26"/>
      <c r="I15" s="26"/>
      <c r="J15" s="32" t="s">
        <v>17</v>
      </c>
      <c r="K15" s="32"/>
      <c r="L15" s="32"/>
      <c r="M15" s="32"/>
      <c r="N15" s="30" t="s">
        <v>18</v>
      </c>
      <c r="O15" s="30"/>
      <c r="P15" s="30"/>
      <c r="Q15" s="30"/>
    </row>
    <row r="16" spans="1:17" ht="12.75" customHeight="1" x14ac:dyDescent="0.2">
      <c r="A16" s="2" t="s">
        <v>19</v>
      </c>
      <c r="B16" s="26" t="s">
        <v>20</v>
      </c>
      <c r="C16" s="26"/>
      <c r="D16" s="26"/>
      <c r="E16" s="26"/>
      <c r="F16" s="26"/>
      <c r="G16" s="26"/>
      <c r="H16" s="26"/>
      <c r="I16" s="26"/>
      <c r="J16" s="32" t="s">
        <v>21</v>
      </c>
      <c r="K16" s="32"/>
      <c r="L16" s="32"/>
      <c r="M16" s="32"/>
      <c r="N16" s="30" t="s">
        <v>22</v>
      </c>
      <c r="O16" s="30"/>
      <c r="P16" s="30"/>
      <c r="Q16" s="30"/>
    </row>
    <row r="17" spans="1:17" ht="12.75" customHeight="1" x14ac:dyDescent="0.2">
      <c r="A17" s="2"/>
      <c r="B17" s="33"/>
      <c r="C17" s="33"/>
      <c r="D17" s="33"/>
      <c r="E17" s="33"/>
      <c r="F17" s="33"/>
      <c r="G17" s="33"/>
      <c r="H17" s="33"/>
      <c r="I17" s="33"/>
      <c r="J17" s="34" t="s">
        <v>23</v>
      </c>
      <c r="K17" s="34"/>
      <c r="L17" s="34"/>
      <c r="M17" s="34"/>
      <c r="N17" s="30" t="s">
        <v>50</v>
      </c>
      <c r="O17" s="30"/>
      <c r="P17" s="30"/>
      <c r="Q17" s="30"/>
    </row>
    <row r="18" spans="1:17" ht="12.75" customHeight="1" x14ac:dyDescent="0.2">
      <c r="A18" s="2" t="s">
        <v>24</v>
      </c>
      <c r="B18" s="26" t="s">
        <v>25</v>
      </c>
      <c r="C18" s="26"/>
      <c r="D18" s="26"/>
      <c r="E18" s="26"/>
      <c r="F18" s="26"/>
      <c r="G18" s="26"/>
      <c r="H18" s="26"/>
      <c r="I18" s="26"/>
      <c r="J18" s="32" t="s">
        <v>26</v>
      </c>
      <c r="K18" s="32"/>
      <c r="L18" s="32"/>
      <c r="M18" s="32"/>
      <c r="N18" s="30" t="s">
        <v>51</v>
      </c>
      <c r="O18" s="30"/>
      <c r="P18" s="30"/>
      <c r="Q18" s="30"/>
    </row>
    <row r="19" spans="1:17" ht="1.5" customHeight="1" x14ac:dyDescent="0.2">
      <c r="C19" s="2"/>
    </row>
    <row r="20" spans="1:17" ht="22.5" customHeight="1" x14ac:dyDescent="0.2">
      <c r="A20" s="35"/>
      <c r="B20" s="35"/>
      <c r="C20" s="35"/>
      <c r="D20" s="35"/>
      <c r="E20" s="35"/>
      <c r="F20" s="35"/>
      <c r="G20" s="35"/>
      <c r="H20" s="35"/>
    </row>
    <row r="21" spans="1:17" ht="15.75" customHeight="1" x14ac:dyDescent="0.2">
      <c r="A21" s="38" t="s">
        <v>27</v>
      </c>
      <c r="B21" s="38"/>
      <c r="C21" s="38"/>
      <c r="D21" s="38" t="s">
        <v>28</v>
      </c>
      <c r="E21" s="36" t="s">
        <v>29</v>
      </c>
      <c r="F21" s="36" t="s">
        <v>30</v>
      </c>
      <c r="G21" s="36" t="s">
        <v>31</v>
      </c>
    </row>
    <row r="22" spans="1:17" ht="15" customHeight="1" x14ac:dyDescent="0.2">
      <c r="A22" s="38"/>
      <c r="B22" s="38"/>
      <c r="C22" s="38"/>
      <c r="D22" s="38"/>
      <c r="E22" s="36"/>
      <c r="F22" s="36"/>
      <c r="G22" s="36"/>
    </row>
    <row r="23" spans="1:17" ht="15.75" customHeight="1" x14ac:dyDescent="0.2">
      <c r="A23" s="38"/>
      <c r="B23" s="38"/>
      <c r="C23" s="38"/>
      <c r="D23" s="38"/>
      <c r="E23" s="36"/>
      <c r="F23" s="36"/>
      <c r="G23" s="36"/>
    </row>
    <row r="24" spans="1:17" ht="15.75" customHeight="1" x14ac:dyDescent="0.2">
      <c r="A24" s="38"/>
      <c r="B24" s="38"/>
      <c r="C24" s="38"/>
      <c r="D24" s="38"/>
      <c r="E24" s="37" t="s">
        <v>32</v>
      </c>
      <c r="F24" s="37"/>
      <c r="G24" s="11" t="s">
        <v>33</v>
      </c>
    </row>
    <row r="25" spans="1:17" ht="15.95" customHeight="1" x14ac:dyDescent="0.2">
      <c r="A25" s="20" t="s">
        <v>34</v>
      </c>
      <c r="B25" s="21"/>
      <c r="C25" s="22"/>
      <c r="D25" s="13" t="s">
        <v>35</v>
      </c>
      <c r="E25" s="15">
        <v>0.56000000000000005</v>
      </c>
      <c r="F25" s="14">
        <v>2.5099999999999998</v>
      </c>
      <c r="G25" s="16">
        <f t="shared" ref="G25:G31" si="0">+(1-(E25/F25))*100</f>
        <v>77.689243027888438</v>
      </c>
    </row>
    <row r="26" spans="1:17" ht="15.95" customHeight="1" x14ac:dyDescent="0.2">
      <c r="A26" s="20" t="s">
        <v>36</v>
      </c>
      <c r="B26" s="21"/>
      <c r="C26" s="22"/>
      <c r="D26" s="13" t="s">
        <v>37</v>
      </c>
      <c r="E26" s="15">
        <v>0.73</v>
      </c>
      <c r="F26" s="14">
        <v>2.4700000000000002</v>
      </c>
      <c r="G26" s="16">
        <f t="shared" si="0"/>
        <v>70.445344129554655</v>
      </c>
    </row>
    <row r="27" spans="1:17" ht="15.95" customHeight="1" x14ac:dyDescent="0.2">
      <c r="A27" s="20" t="s">
        <v>38</v>
      </c>
      <c r="B27" s="21"/>
      <c r="C27" s="22"/>
      <c r="D27" s="13" t="s">
        <v>39</v>
      </c>
      <c r="E27" s="15">
        <v>0.71</v>
      </c>
      <c r="F27" s="14">
        <v>2.5499999999999998</v>
      </c>
      <c r="G27" s="16">
        <f t="shared" si="0"/>
        <v>72.156862745098039</v>
      </c>
    </row>
    <row r="28" spans="1:17" ht="15.95" customHeight="1" x14ac:dyDescent="0.2">
      <c r="A28" s="20" t="s">
        <v>40</v>
      </c>
      <c r="B28" s="21"/>
      <c r="C28" s="22"/>
      <c r="D28" s="13" t="s">
        <v>41</v>
      </c>
      <c r="E28" s="15">
        <v>0.73</v>
      </c>
      <c r="F28" s="14">
        <v>2.37</v>
      </c>
      <c r="G28" s="16">
        <f t="shared" si="0"/>
        <v>69.198312236286924</v>
      </c>
    </row>
    <row r="29" spans="1:17" ht="15.95" customHeight="1" x14ac:dyDescent="0.2">
      <c r="A29" s="20" t="s">
        <v>42</v>
      </c>
      <c r="B29" s="21"/>
      <c r="C29" s="22"/>
      <c r="D29" s="13" t="s">
        <v>43</v>
      </c>
      <c r="E29" s="15">
        <v>0.8</v>
      </c>
      <c r="F29" s="14">
        <v>2.57</v>
      </c>
      <c r="G29" s="16">
        <f t="shared" si="0"/>
        <v>68.871595330739297</v>
      </c>
    </row>
    <row r="30" spans="1:17" ht="15.95" customHeight="1" x14ac:dyDescent="0.2">
      <c r="A30" s="20" t="s">
        <v>44</v>
      </c>
      <c r="B30" s="21"/>
      <c r="C30" s="22"/>
      <c r="D30" s="13" t="s">
        <v>45</v>
      </c>
      <c r="E30" s="15">
        <v>0.77</v>
      </c>
      <c r="F30" s="14">
        <v>2.48</v>
      </c>
      <c r="G30" s="16">
        <f t="shared" si="0"/>
        <v>68.951612903225794</v>
      </c>
    </row>
    <row r="31" spans="1:17" ht="15.95" customHeight="1" x14ac:dyDescent="0.2">
      <c r="A31" s="20" t="s">
        <v>46</v>
      </c>
      <c r="B31" s="21"/>
      <c r="C31" s="22"/>
      <c r="D31" s="13" t="s">
        <v>47</v>
      </c>
      <c r="E31" s="15">
        <v>0.8</v>
      </c>
      <c r="F31" s="14">
        <v>2.54</v>
      </c>
      <c r="G31" s="16">
        <f t="shared" si="0"/>
        <v>68.503937007874015</v>
      </c>
    </row>
    <row r="32" spans="1:17" ht="15.95" customHeight="1" x14ac:dyDescent="0.2">
      <c r="A32" s="23" t="s">
        <v>48</v>
      </c>
      <c r="B32" s="24"/>
      <c r="C32" s="25"/>
      <c r="D32" s="17" t="s">
        <v>49</v>
      </c>
      <c r="E32" s="18">
        <v>0.8</v>
      </c>
      <c r="F32" s="18">
        <v>2.5499999999999998</v>
      </c>
      <c r="G32" s="18">
        <f>+(1-(E32/F32))*100</f>
        <v>68.627450980392155</v>
      </c>
    </row>
    <row r="33" spans="1:7" ht="15.95" customHeight="1" x14ac:dyDescent="0.2">
      <c r="A33" s="6"/>
      <c r="B33" s="6"/>
      <c r="C33" s="6"/>
      <c r="D33" s="8"/>
    </row>
    <row r="34" spans="1:7" ht="15.95" customHeight="1" x14ac:dyDescent="0.2">
      <c r="A34" s="6"/>
      <c r="B34" s="6"/>
      <c r="C34" s="6"/>
      <c r="D34" s="8"/>
    </row>
    <row r="35" spans="1:7" ht="15.95" customHeight="1" x14ac:dyDescent="0.2">
      <c r="A35" s="6"/>
      <c r="B35" s="6"/>
      <c r="C35" s="6"/>
      <c r="D35" s="8"/>
    </row>
    <row r="36" spans="1:7" ht="15.95" customHeight="1" x14ac:dyDescent="0.2">
      <c r="A36" s="6"/>
      <c r="B36" s="6"/>
      <c r="C36" s="6"/>
      <c r="D36" s="8"/>
    </row>
    <row r="37" spans="1:7" ht="15.95" customHeight="1" x14ac:dyDescent="0.2">
      <c r="A37" s="6"/>
      <c r="B37" s="6"/>
      <c r="C37" s="6"/>
      <c r="D37" s="8"/>
    </row>
    <row r="38" spans="1:7" ht="15.95" customHeight="1" x14ac:dyDescent="0.2">
      <c r="A38" s="6"/>
      <c r="B38" s="6"/>
      <c r="C38" s="6"/>
      <c r="D38" s="8"/>
    </row>
    <row r="39" spans="1:7" ht="15.95" customHeight="1" x14ac:dyDescent="0.2">
      <c r="A39" s="6"/>
      <c r="B39" s="6"/>
      <c r="C39" s="6"/>
      <c r="D39" s="8"/>
    </row>
    <row r="40" spans="1:7" ht="15.75" customHeight="1" x14ac:dyDescent="0.2">
      <c r="B40" s="7"/>
      <c r="C40" s="7"/>
      <c r="D40" s="9"/>
    </row>
    <row r="41" spans="1:7" ht="15.75" customHeight="1" x14ac:dyDescent="0.25">
      <c r="A41" s="19"/>
      <c r="B41" s="19"/>
      <c r="C41" s="19"/>
      <c r="D41" s="19"/>
      <c r="E41" s="19"/>
      <c r="F41" s="19"/>
      <c r="G41" s="19"/>
    </row>
    <row r="42" spans="1:7" ht="15.75" customHeight="1" x14ac:dyDescent="0.25">
      <c r="A42" s="19"/>
      <c r="B42" s="19"/>
      <c r="C42" s="19"/>
      <c r="D42" s="19"/>
      <c r="E42" s="19"/>
      <c r="F42" s="19"/>
      <c r="G42" s="19"/>
    </row>
    <row r="43" spans="1:7" ht="15.75" customHeight="1" x14ac:dyDescent="0.2">
      <c r="A43" s="7"/>
      <c r="B43" s="7"/>
      <c r="C43" s="7"/>
      <c r="D43" s="9"/>
    </row>
    <row r="44" spans="1:7" ht="15.75" customHeight="1" x14ac:dyDescent="0.2">
      <c r="A44" s="7"/>
      <c r="B44" s="7"/>
      <c r="C44" s="7"/>
      <c r="D44" s="9"/>
    </row>
    <row r="45" spans="1:7" ht="15.75" customHeight="1" x14ac:dyDescent="0.2">
      <c r="A45" s="7"/>
      <c r="B45" s="7"/>
      <c r="C45" s="7"/>
      <c r="D45" s="9"/>
    </row>
    <row r="46" spans="1:7" ht="15.75" customHeight="1" x14ac:dyDescent="0.2">
      <c r="A46" s="7"/>
      <c r="B46" s="7"/>
      <c r="C46" s="7"/>
      <c r="D46" s="9"/>
    </row>
    <row r="47" spans="1:7" ht="15.75" customHeight="1" x14ac:dyDescent="0.2">
      <c r="A47" s="7"/>
      <c r="B47" s="7"/>
      <c r="C47" s="7"/>
      <c r="D47" s="9"/>
    </row>
    <row r="48" spans="1:7" ht="15.75" customHeight="1" x14ac:dyDescent="0.2">
      <c r="A48" s="7"/>
      <c r="B48" s="7"/>
      <c r="C48" s="7"/>
      <c r="D48" s="9"/>
    </row>
    <row r="49" spans="1:18" ht="15" x14ac:dyDescent="0.25">
      <c r="A49" s="7"/>
      <c r="B49" s="7"/>
      <c r="C49" s="7"/>
      <c r="D49" s="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</row>
    <row r="50" spans="1:18" ht="15" x14ac:dyDescent="0.25">
      <c r="A50" s="7"/>
      <c r="B50" s="7"/>
      <c r="C50" s="7"/>
      <c r="D50" s="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</row>
    <row r="51" spans="1:18" x14ac:dyDescent="0.2">
      <c r="A51" s="7"/>
      <c r="B51" s="7"/>
      <c r="C51" s="7"/>
      <c r="D51" s="9"/>
    </row>
    <row r="52" spans="1:18" x14ac:dyDescent="0.2">
      <c r="A52" s="7"/>
      <c r="B52" s="7"/>
      <c r="C52" s="7"/>
      <c r="D52" s="9"/>
    </row>
    <row r="53" spans="1:18" x14ac:dyDescent="0.2">
      <c r="A53" s="7"/>
      <c r="B53" s="7"/>
      <c r="C53" s="7"/>
      <c r="D53" s="9"/>
    </row>
    <row r="54" spans="1:18" ht="9" customHeight="1" x14ac:dyDescent="0.2">
      <c r="A54" s="7"/>
      <c r="B54" s="7"/>
      <c r="C54" s="7"/>
      <c r="D54" s="9"/>
    </row>
    <row r="55" spans="1:18" ht="9" customHeight="1" x14ac:dyDescent="0.2">
      <c r="A55" s="7"/>
      <c r="B55" s="7"/>
      <c r="C55" s="7"/>
      <c r="D55" s="9"/>
    </row>
    <row r="56" spans="1:18" ht="9" customHeight="1" x14ac:dyDescent="0.2"/>
  </sheetData>
  <mergeCells count="42">
    <mergeCell ref="A20:H20"/>
    <mergeCell ref="E21:E23"/>
    <mergeCell ref="F21:F23"/>
    <mergeCell ref="G21:G23"/>
    <mergeCell ref="E24:F24"/>
    <mergeCell ref="A21:C24"/>
    <mergeCell ref="D21:D24"/>
    <mergeCell ref="B17:I17"/>
    <mergeCell ref="J17:M17"/>
    <mergeCell ref="N17:Q17"/>
    <mergeCell ref="B18:I18"/>
    <mergeCell ref="J18:M18"/>
    <mergeCell ref="N18:Q18"/>
    <mergeCell ref="N14:Q14"/>
    <mergeCell ref="B15:I15"/>
    <mergeCell ref="J15:M15"/>
    <mergeCell ref="N15:Q15"/>
    <mergeCell ref="B16:I16"/>
    <mergeCell ref="J16:M16"/>
    <mergeCell ref="N16:Q16"/>
    <mergeCell ref="A32:C32"/>
    <mergeCell ref="A25:C2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A31:C31"/>
    <mergeCell ref="A26:C26"/>
    <mergeCell ref="A27:C27"/>
    <mergeCell ref="A28:C28"/>
    <mergeCell ref="A29:C29"/>
    <mergeCell ref="A30:C30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F45720-FEC8-47CF-916A-431B1C0C7671}">
  <ds:schemaRefs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036eaf11-5a74-42e9-a09d-6613db23384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C090F61-A15F-4A6C-A945-2EA5E5C7E4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7A053-F72E-4C0E-B5D8-9428EBD1C7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26-00947 - 26-00961</vt:lpstr>
      <vt:lpstr>'26-00947 - 26-00961'!Área_de_impresión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Jesús Céspedes Rivera</cp:lastModifiedBy>
  <cp:revision/>
  <dcterms:created xsi:type="dcterms:W3CDTF">2005-11-21T21:38:59Z</dcterms:created>
  <dcterms:modified xsi:type="dcterms:W3CDTF">2026-09-11T19:10:00Z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