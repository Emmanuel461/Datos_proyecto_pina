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7" documentId="8_{CE7E5E3E-6F3E-4FB7-A7F8-4D502F1DA97B}" xr6:coauthVersionLast="47" xr6:coauthVersionMax="47" xr10:uidLastSave="{36E1BCC3-0C36-4E51-B957-CFEACFE21E14}"/>
  <bookViews>
    <workbookView xWindow="-120" yWindow="-120" windowWidth="24240" windowHeight="13140" xr2:uid="{00000000-000D-0000-FFFF-FFFF00000000}"/>
  </bookViews>
  <sheets>
    <sheet name="26-00899 - 26-00913" sheetId="34" r:id="rId1"/>
  </sheets>
  <definedNames>
    <definedName name="_xlnm.Print_Area" localSheetId="0">'26-00899 - 26-00913'!$A$1:$R$52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4" l="1"/>
  <c r="G27" i="34"/>
  <c r="G28" i="34"/>
  <c r="G29" i="34"/>
  <c r="G30" i="34"/>
  <c r="G31" i="34"/>
  <c r="G32" i="34"/>
  <c r="G25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<sst xmlns="http://schemas.openxmlformats.org/spreadsheetml/2006/main" count="52" uniqueCount="52">
  <si>
    <t>CENTRO DE INVESTIGACIONES AGRONÓMICAS</t>
  </si>
  <si>
    <t>LABORATORIO DE RECURSOS NATURALES</t>
  </si>
  <si>
    <t>REPORTE DE ENSAYO</t>
  </si>
  <si>
    <t>Nº DE REPORTE:</t>
  </si>
  <si>
    <t>99445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</si>
  <si>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</si>
  <si>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</si>
  <si>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</si>
  <si>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</si>
  <si>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</si>
  <si>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</si>
  <si>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</si>
  <si>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</si>
  <si>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</si>
  <si>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</si>
  <si>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</si>
  <si>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</si>
  <si>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</si>
  <si>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</si>
  <si>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</si>
  <si>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</si>
  <si>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</si>
  <si>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11/05/2026 </t>
  </si>
  <si>
    <t>Nº DE MUESTRAS TOTAL:</t>
  </si>
  <si>
    <t>CULTIVO:</t>
  </si>
  <si>
    <t>PIÑA Y BOSQUE</t>
  </si>
  <si>
    <t>PÁGINA: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</si>
  <si>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</si>
  <si>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</si>
  <si>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</si>
  <si>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</si>
  <si>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</si>
  <si>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</si>
  <si>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</si>
  <si>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2 (ALONSO CHACON) R 1</t>
  </si>
  <si>
    <t>RN-26-00899</t>
  </si>
  <si>
    <t>PIÑA 2 (ALONSO CHACON) R 2</t>
  </si>
  <si>
    <t>RN-26-00900</t>
  </si>
  <si>
    <t>PIÑA 2 (ALONSO CHACON) R 3</t>
  </si>
  <si>
    <t>RN-26-00901</t>
  </si>
  <si>
    <t>PIÑA 2 (ALONSO CHACON) R 4</t>
  </si>
  <si>
    <t>RN-26-00902</t>
  </si>
  <si>
    <t>PIÑA 2 (ALONSO CHACON) R 5</t>
  </si>
  <si>
    <t>RN-26-00903</t>
  </si>
  <si>
    <t>PIÑA 2 (ALONSO CHACON) R 6</t>
  </si>
  <si>
    <t>RN-26-00904</t>
  </si>
  <si>
    <t>PIÑA 2 (ALONSO CHACON) R 7</t>
  </si>
  <si>
    <t>RN-26-00905</t>
  </si>
  <si>
    <t>PIÑA 2 (ALONSO CHACON) R 8</t>
  </si>
  <si>
    <t>RN-26-00906</t>
  </si>
  <si>
    <t>1/1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</si>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</sst>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45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4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8" fillId="0" borderId="9" xfId="0" applyNumberFormat="1" applyFont="1" applyBorder="1" applyAlignment="1">
      <alignment horizontal="left"/>
    </xf>
    <xf numFmtId="49" fontId="8" fillId="0" borderId="10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6"/>
  <sheetViews>
    <sheetView tabSelected="1" topLeftCell="A9" zoomScaleNormal="100" workbookViewId="0">
      <selection activeCell="N18" sqref="N18:Q18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31" t="s">
        <v>0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Q1" s="10" t="e" vm="2">
        <v>#VALUE!</v>
      </c>
    </row>
    <row r="2" spans="1:17" ht="15.75" x14ac:dyDescent="0.25">
      <c r="D2" s="31" t="s">
        <v>1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7" ht="15.75" x14ac:dyDescent="0.25">
      <c r="B3" s="4"/>
      <c r="C3" s="4"/>
      <c r="D3" s="31" t="s">
        <v>2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7" ht="14.25" customHeight="1" x14ac:dyDescent="0.25">
      <c r="B4" s="4"/>
      <c r="C4" s="4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17" ht="1.5" customHeight="1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4"/>
    </row>
    <row r="6" spans="1:17" ht="1.5" customHeight="1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7" ht="1.5" customHeight="1" x14ac:dyDescent="0.2"/>
    <row r="8" spans="1:17" ht="20.100000000000001" customHeight="1" x14ac:dyDescent="0.3">
      <c r="A8" s="5" t="s">
        <v>3</v>
      </c>
      <c r="B8" s="33" t="s">
        <v>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1:17" ht="12.75" customHeight="1" x14ac:dyDescent="0.2">
      <c r="A9" s="2" t="s">
        <v>5</v>
      </c>
      <c r="B9" s="34" t="s">
        <v>6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</row>
    <row r="10" spans="1:17" x14ac:dyDescent="0.2">
      <c r="A10" s="2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</row>
    <row r="11" spans="1:17" ht="12.75" customHeight="1" x14ac:dyDescent="0.2">
      <c r="A11" s="2" t="s">
        <v>7</v>
      </c>
      <c r="B11" s="30" t="s">
        <v>8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spans="1:17" ht="12.75" customHeight="1" x14ac:dyDescent="0.2">
      <c r="A12" s="12" t="s">
        <v>9</v>
      </c>
      <c r="B12" s="35" t="s">
        <v>10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</row>
    <row r="13" spans="1:17" ht="12.75" customHeight="1" x14ac:dyDescent="0.2">
      <c r="A13" s="12" t="s">
        <v>11</v>
      </c>
      <c r="B13" s="30" t="s">
        <v>12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spans="1:17" ht="12.75" customHeight="1" x14ac:dyDescent="0.2">
      <c r="A14" s="2"/>
      <c r="B14" s="30"/>
      <c r="C14" s="30"/>
      <c r="D14" s="30"/>
      <c r="E14" s="30"/>
      <c r="F14" s="30"/>
      <c r="G14" s="30"/>
      <c r="H14" s="30"/>
      <c r="I14" s="30"/>
      <c r="J14" s="36" t="s">
        <v>13</v>
      </c>
      <c r="K14" s="36"/>
      <c r="L14" s="36"/>
      <c r="M14" s="36"/>
      <c r="N14" s="34" t="s">
        <v>14</v>
      </c>
      <c r="O14" s="34"/>
      <c r="P14" s="34"/>
      <c r="Q14" s="34"/>
    </row>
    <row r="15" spans="1:17" ht="12.75" customHeight="1" x14ac:dyDescent="0.2">
      <c r="A15" s="2" t="s">
        <v>15</v>
      </c>
      <c r="B15" s="30" t="s">
        <v>16</v>
      </c>
      <c r="C15" s="30"/>
      <c r="D15" s="30"/>
      <c r="E15" s="30"/>
      <c r="F15" s="30"/>
      <c r="G15" s="30"/>
      <c r="H15" s="30"/>
      <c r="I15" s="30"/>
      <c r="J15" s="36" t="s">
        <v>17</v>
      </c>
      <c r="K15" s="36"/>
      <c r="L15" s="36"/>
      <c r="M15" s="36"/>
      <c r="N15" s="34" t="s">
        <v>18</v>
      </c>
      <c r="O15" s="34"/>
      <c r="P15" s="34"/>
      <c r="Q15" s="34"/>
    </row>
    <row r="16" spans="1:17" ht="12.75" customHeight="1" x14ac:dyDescent="0.2">
      <c r="A16" s="2" t="s">
        <v>19</v>
      </c>
      <c r="B16" s="30" t="s">
        <v>20</v>
      </c>
      <c r="C16" s="30"/>
      <c r="D16" s="30"/>
      <c r="E16" s="30"/>
      <c r="F16" s="30"/>
      <c r="G16" s="30"/>
      <c r="H16" s="30"/>
      <c r="I16" s="30"/>
      <c r="J16" s="36" t="s">
        <v>21</v>
      </c>
      <c r="K16" s="36"/>
      <c r="L16" s="36"/>
      <c r="M16" s="36"/>
      <c r="N16" s="34" t="s">
        <v>22</v>
      </c>
      <c r="O16" s="34"/>
      <c r="P16" s="34"/>
      <c r="Q16" s="34"/>
    </row>
    <row r="17" spans="1:17" ht="12.75" customHeight="1" x14ac:dyDescent="0.2">
      <c r="A17" s="2"/>
      <c r="B17" s="37"/>
      <c r="C17" s="37"/>
      <c r="D17" s="37"/>
      <c r="E17" s="37"/>
      <c r="F17" s="37"/>
      <c r="G17" s="37"/>
      <c r="H17" s="37"/>
      <c r="I17" s="37"/>
      <c r="J17" s="38" t="s">
        <v>23</v>
      </c>
      <c r="K17" s="38"/>
      <c r="L17" s="38"/>
      <c r="M17" s="38"/>
      <c r="N17" s="34" t="s">
        <v>51</v>
      </c>
      <c r="O17" s="34"/>
      <c r="P17" s="34"/>
      <c r="Q17" s="34"/>
    </row>
    <row r="18" spans="1:17" ht="12.75" customHeight="1" x14ac:dyDescent="0.2">
      <c r="A18" s="2" t="s">
        <v>24</v>
      </c>
      <c r="B18" s="30" t="s">
        <v>25</v>
      </c>
      <c r="C18" s="30"/>
      <c r="D18" s="30"/>
      <c r="E18" s="30"/>
      <c r="F18" s="30"/>
      <c r="G18" s="30"/>
      <c r="H18" s="30"/>
      <c r="I18" s="30"/>
      <c r="J18" s="36" t="s">
        <v>26</v>
      </c>
      <c r="K18" s="36"/>
      <c r="L18" s="36"/>
      <c r="M18" s="36"/>
      <c r="N18" s="34" t="s">
        <v>50</v>
      </c>
      <c r="O18" s="34"/>
      <c r="P18" s="34"/>
      <c r="Q18" s="34"/>
    </row>
    <row r="19" spans="1:17" ht="1.5" customHeight="1" x14ac:dyDescent="0.2">
      <c r="C19" s="2"/>
    </row>
    <row r="20" spans="1:17" ht="22.5" customHeight="1" x14ac:dyDescent="0.2">
      <c r="A20" s="39"/>
      <c r="B20" s="39"/>
      <c r="C20" s="39"/>
      <c r="D20" s="39"/>
      <c r="E20" s="39"/>
      <c r="F20" s="39"/>
      <c r="G20" s="39"/>
      <c r="H20" s="39"/>
    </row>
    <row r="21" spans="1:17" ht="15.75" customHeight="1" x14ac:dyDescent="0.2">
      <c r="A21" s="42" t="s">
        <v>27</v>
      </c>
      <c r="B21" s="42"/>
      <c r="C21" s="42"/>
      <c r="D21" s="42" t="s">
        <v>28</v>
      </c>
      <c r="E21" s="40" t="s">
        <v>29</v>
      </c>
      <c r="F21" s="40" t="s">
        <v>30</v>
      </c>
      <c r="G21" s="40" t="s">
        <v>31</v>
      </c>
    </row>
    <row r="22" spans="1:17" ht="15" customHeight="1" x14ac:dyDescent="0.2">
      <c r="A22" s="42"/>
      <c r="B22" s="42"/>
      <c r="C22" s="42"/>
      <c r="D22" s="42"/>
      <c r="E22" s="40"/>
      <c r="F22" s="40"/>
      <c r="G22" s="40"/>
    </row>
    <row r="23" spans="1:17" ht="15.75" customHeight="1" x14ac:dyDescent="0.2">
      <c r="A23" s="42"/>
      <c r="B23" s="42"/>
      <c r="C23" s="42"/>
      <c r="D23" s="42"/>
      <c r="E23" s="40"/>
      <c r="F23" s="40"/>
      <c r="G23" s="40"/>
    </row>
    <row r="24" spans="1:17" ht="15.75" customHeight="1" x14ac:dyDescent="0.2">
      <c r="A24" s="42"/>
      <c r="B24" s="42"/>
      <c r="C24" s="42"/>
      <c r="D24" s="42"/>
      <c r="E24" s="41" t="s">
        <v>32</v>
      </c>
      <c r="F24" s="41"/>
      <c r="G24" s="11" t="s">
        <v>33</v>
      </c>
    </row>
    <row r="25" spans="1:17" ht="15.95" customHeight="1" x14ac:dyDescent="0.2">
      <c r="A25" s="43" t="s">
        <v>34</v>
      </c>
      <c r="B25" s="44"/>
      <c r="C25" s="44"/>
      <c r="D25" s="13" t="s">
        <v>35</v>
      </c>
      <c r="E25" s="15">
        <v>0.97</v>
      </c>
      <c r="F25" s="22">
        <v>2.4700000000000002</v>
      </c>
      <c r="G25" s="16">
        <f>+(1-(E25/F25))*100</f>
        <v>60.728744939271259</v>
      </c>
    </row>
    <row r="26" spans="1:17" ht="15.95" customHeight="1" x14ac:dyDescent="0.2">
      <c r="A26" s="28" t="s">
        <v>36</v>
      </c>
      <c r="B26" s="29"/>
      <c r="C26" s="29"/>
      <c r="D26" s="14" t="s">
        <v>37</v>
      </c>
      <c r="E26" s="17">
        <v>0.96</v>
      </c>
      <c r="F26" s="23">
        <v>2.5099999999999998</v>
      </c>
      <c r="G26" s="18">
        <f t="shared" ref="G26:G32" si="0">+(1-(E26/F26))*100</f>
        <v>61.752988047808763</v>
      </c>
    </row>
    <row r="27" spans="1:17" ht="15.95" customHeight="1" x14ac:dyDescent="0.2">
      <c r="A27" s="28" t="s">
        <v>38</v>
      </c>
      <c r="B27" s="29"/>
      <c r="C27" s="29"/>
      <c r="D27" s="14" t="s">
        <v>39</v>
      </c>
      <c r="E27" s="17">
        <v>0.95</v>
      </c>
      <c r="F27" s="23">
        <v>2.5299999999999998</v>
      </c>
      <c r="G27" s="18">
        <f t="shared" si="0"/>
        <v>62.450592885375485</v>
      </c>
    </row>
    <row r="28" spans="1:17" ht="15.95" customHeight="1" x14ac:dyDescent="0.2">
      <c r="A28" s="28" t="s">
        <v>40</v>
      </c>
      <c r="B28" s="29"/>
      <c r="C28" s="29"/>
      <c r="D28" s="14" t="s">
        <v>41</v>
      </c>
      <c r="E28" s="17">
        <v>0.96</v>
      </c>
      <c r="F28" s="23">
        <v>2.48</v>
      </c>
      <c r="G28" s="18">
        <f t="shared" si="0"/>
        <v>61.29032258064516</v>
      </c>
    </row>
    <row r="29" spans="1:17" ht="15.95" customHeight="1" x14ac:dyDescent="0.2">
      <c r="A29" s="28" t="s">
        <v>42</v>
      </c>
      <c r="B29" s="29"/>
      <c r="C29" s="29"/>
      <c r="D29" s="14" t="s">
        <v>43</v>
      </c>
      <c r="E29" s="17">
        <v>0.95</v>
      </c>
      <c r="F29" s="23">
        <v>2.5099999999999998</v>
      </c>
      <c r="G29" s="18">
        <f t="shared" si="0"/>
        <v>62.151394422310759</v>
      </c>
    </row>
    <row r="30" spans="1:17" ht="15.95" customHeight="1" x14ac:dyDescent="0.2">
      <c r="A30" s="28" t="s">
        <v>44</v>
      </c>
      <c r="B30" s="29"/>
      <c r="C30" s="29"/>
      <c r="D30" s="14" t="s">
        <v>45</v>
      </c>
      <c r="E30" s="17">
        <v>0.94</v>
      </c>
      <c r="F30" s="23">
        <v>2.4900000000000002</v>
      </c>
      <c r="G30" s="18">
        <f t="shared" si="0"/>
        <v>62.24899598393575</v>
      </c>
    </row>
    <row r="31" spans="1:17" ht="15.95" customHeight="1" x14ac:dyDescent="0.2">
      <c r="A31" s="28" t="s">
        <v>46</v>
      </c>
      <c r="B31" s="29"/>
      <c r="C31" s="29"/>
      <c r="D31" s="14" t="s">
        <v>47</v>
      </c>
      <c r="E31" s="17">
        <v>0.87</v>
      </c>
      <c r="F31" s="23">
        <v>2.5299999999999998</v>
      </c>
      <c r="G31" s="18">
        <f t="shared" si="0"/>
        <v>65.612648221343875</v>
      </c>
    </row>
    <row r="32" spans="1:17" ht="15.95" customHeight="1" x14ac:dyDescent="0.2">
      <c r="A32" s="26" t="s">
        <v>48</v>
      </c>
      <c r="B32" s="27"/>
      <c r="C32" s="27"/>
      <c r="D32" s="19" t="s">
        <v>49</v>
      </c>
      <c r="E32" s="20">
        <v>0.91</v>
      </c>
      <c r="F32" s="24">
        <v>2.54</v>
      </c>
      <c r="G32" s="21">
        <f t="shared" si="0"/>
        <v>64.173228346456696</v>
      </c>
    </row>
    <row r="33" spans="1:7" ht="15.95" customHeight="1" x14ac:dyDescent="0.2">
      <c r="A33" s="6"/>
      <c r="B33" s="6"/>
      <c r="C33" s="6"/>
      <c r="D33" s="8"/>
    </row>
    <row r="34" spans="1:7" ht="15.95" customHeight="1" x14ac:dyDescent="0.2">
      <c r="A34" s="6"/>
      <c r="B34" s="6"/>
      <c r="C34" s="6"/>
      <c r="D34" s="8"/>
    </row>
    <row r="35" spans="1:7" ht="15.95" customHeight="1" x14ac:dyDescent="0.2">
      <c r="A35" s="6"/>
      <c r="B35" s="6"/>
      <c r="C35" s="6"/>
      <c r="D35" s="8"/>
    </row>
    <row r="36" spans="1:7" ht="15.95" customHeight="1" x14ac:dyDescent="0.2">
      <c r="A36" s="6"/>
      <c r="B36" s="6"/>
      <c r="C36" s="6"/>
      <c r="D36" s="8"/>
    </row>
    <row r="37" spans="1:7" ht="15.95" customHeight="1" x14ac:dyDescent="0.2">
      <c r="A37" s="6"/>
      <c r="B37" s="6"/>
      <c r="C37" s="6"/>
      <c r="D37" s="8"/>
    </row>
    <row r="38" spans="1:7" ht="15.95" customHeight="1" x14ac:dyDescent="0.2">
      <c r="A38" s="6"/>
      <c r="B38" s="6"/>
      <c r="C38" s="6"/>
      <c r="D38" s="8"/>
    </row>
    <row r="39" spans="1:7" ht="15.95" customHeight="1" x14ac:dyDescent="0.2">
      <c r="A39" s="6"/>
      <c r="B39" s="6"/>
      <c r="C39" s="6"/>
      <c r="D39" s="8"/>
    </row>
    <row r="40" spans="1:7" ht="15.75" customHeight="1" x14ac:dyDescent="0.2">
      <c r="A40" s="6"/>
      <c r="B40" s="6"/>
      <c r="C40" s="6"/>
      <c r="D40" s="8"/>
    </row>
    <row r="41" spans="1:7" ht="15.75" customHeight="1" x14ac:dyDescent="0.2">
      <c r="B41" s="7"/>
      <c r="C41" s="7"/>
      <c r="D41" s="9"/>
    </row>
    <row r="42" spans="1:7" ht="15.75" customHeight="1" x14ac:dyDescent="0.25">
      <c r="A42" s="25"/>
      <c r="B42" s="25"/>
      <c r="C42" s="25"/>
      <c r="D42" s="25"/>
      <c r="E42" s="25"/>
      <c r="F42" s="25"/>
      <c r="G42" s="25"/>
    </row>
    <row r="43" spans="1:7" ht="15.75" customHeight="1" x14ac:dyDescent="0.25">
      <c r="A43" s="25"/>
      <c r="B43" s="25"/>
      <c r="C43" s="25"/>
      <c r="D43" s="25"/>
      <c r="E43" s="25"/>
      <c r="F43" s="25"/>
      <c r="G43" s="25"/>
    </row>
    <row r="44" spans="1:7" ht="15.75" customHeight="1" x14ac:dyDescent="0.2">
      <c r="A44" s="7"/>
      <c r="B44" s="7"/>
      <c r="C44" s="7"/>
      <c r="D44" s="9"/>
    </row>
    <row r="45" spans="1:7" ht="15.75" customHeight="1" x14ac:dyDescent="0.2">
      <c r="A45" s="7"/>
      <c r="B45" s="7"/>
      <c r="C45" s="7"/>
      <c r="D45" s="9"/>
    </row>
    <row r="46" spans="1:7" ht="15.75" customHeight="1" x14ac:dyDescent="0.2">
      <c r="A46" s="7"/>
      <c r="B46" s="7"/>
      <c r="C46" s="7"/>
      <c r="D46" s="9"/>
    </row>
    <row r="47" spans="1:7" ht="15.75" customHeight="1" x14ac:dyDescent="0.2">
      <c r="A47" s="7"/>
      <c r="B47" s="7"/>
      <c r="C47" s="7"/>
      <c r="D47" s="9"/>
    </row>
    <row r="48" spans="1:7" ht="15.75" customHeight="1" x14ac:dyDescent="0.2">
      <c r="A48" s="7"/>
      <c r="B48" s="7"/>
      <c r="C48" s="7"/>
      <c r="D48" s="9"/>
    </row>
    <row r="49" spans="1:18" ht="15" x14ac:dyDescent="0.25">
      <c r="A49" s="7"/>
      <c r="B49" s="7"/>
      <c r="C49" s="7"/>
      <c r="D49" s="9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5" x14ac:dyDescent="0.25">
      <c r="A50" s="7"/>
      <c r="B50" s="7"/>
      <c r="C50" s="7"/>
      <c r="D50" s="9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>
      <c r="A56" s="7"/>
      <c r="B56" s="7"/>
      <c r="C56" s="7"/>
      <c r="D56" s="9"/>
    </row>
  </sheetData>
  <mergeCells count="42">
    <mergeCell ref="B18:I18"/>
    <mergeCell ref="J18:M18"/>
    <mergeCell ref="N18:Q18"/>
    <mergeCell ref="A20:H20"/>
    <mergeCell ref="E21:E23"/>
    <mergeCell ref="F21:F23"/>
    <mergeCell ref="G21:G23"/>
    <mergeCell ref="E24:F24"/>
    <mergeCell ref="A21:C24"/>
    <mergeCell ref="D21:D24"/>
    <mergeCell ref="A25:C25"/>
    <mergeCell ref="A26:C26"/>
    <mergeCell ref="A27:C27"/>
    <mergeCell ref="A28:C28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A29:C29"/>
    <mergeCell ref="A30:C30"/>
    <mergeCell ref="A31:C31"/>
    <mergeCell ref="A32:C3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79D7A0AE-7E15-4C1A-ACD9-32531A5A66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98D737-613A-49B7-9A84-3455774BE0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46900C-912D-4B86-B5B0-D8A54C26637D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036eaf11-5a74-42e9-a09d-6613db23384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26-00899 - 26-00913</vt:lpstr>
      <vt:lpstr>'26-00899 - 26-00913'!Área_de_impresión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2026-08-25T16:12:45Z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