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raw/pina/SUELOS_Propiedades_fisicas_LRN/"/>
    </mc:Choice>
  </mc:AlternateContent>
  <xr:revisionPtr revIDLastSave="0" documentId="13_ncr:11_{85181667-8CEF-473A-9F75-1321ADDEE905}" xr6:coauthVersionLast="47" xr6:coauthVersionMax="47" xr10:uidLastSave="{00000000-0000-0000-0000-000000000000}"/>
  <bookViews>
    <workbookView xWindow="20370" yWindow="-9000" windowWidth="29040" windowHeight="17640" activeTab="1" xr2:uid="{00000000-000D-0000-FFFF-FFFF00000000}"/>
  </bookViews>
  <sheets>
    <sheet name="26-00923 - 26-00937" sheetId="34" r:id="rId1"/>
    <sheet name="26-00938 - 26-00946" sheetId="39" r:id="rId2"/>
  </sheets>
  <definedNames>
    <definedName name="_xlnm.Print_Area" localSheetId="0">'26-00923 - 26-00937'!$A$1:$R$52</definedName>
    <definedName name="_xlnm.Print_Area" localSheetId="1">'26-00938 - 26-00946'!$A$1:$R$52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9" l="1"/>
  <c r="G27" i="39"/>
  <c r="G28" i="39"/>
  <c r="G29" i="39"/>
  <c r="G30" i="39"/>
  <c r="G31" i="39"/>
  <c r="G32" i="39"/>
  <c r="G33" i="39"/>
  <c r="G25" i="39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25" i="3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<sst xmlns="http://schemas.openxmlformats.org/spreadsheetml/2006/main" count="120" uniqueCount="85">
  <si>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</si>
  <si>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</si>
  <si>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</si>
  <si>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</si>
  <si>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</si>
  <si>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</si>
  <si>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</si>
  <si>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</si>
  <si>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</si>
  <si>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</si>
  <si>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</si>
  <si>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Nº DE MUESTRAS TOTAL:</t>
  </si>
  <si>
    <t>ID USUARIO</t>
  </si>
  <si>
    <t>ID LAB</t>
  </si>
  <si>
    <t>CENTRO DE INVESTIGACIONES AGRONÓMICAS</t>
  </si>
  <si>
    <t>LABORATORIO DE RECURSOS NATURALES</t>
  </si>
  <si>
    <t>(%)</t>
  </si>
  <si>
    <t xml:space="preserve">Densidad aparente  </t>
  </si>
  <si>
    <t>Densidad partículas</t>
  </si>
  <si>
    <t>Porosidad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</si>
  <si>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</si>
  <si>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99446</t>
  </si>
  <si>
    <t>PROYECTO VI-813-C6469 (CIPROC)</t>
  </si>
  <si>
    <t>MANUEL CAMACHO</t>
  </si>
  <si>
    <t>CORREO</t>
  </si>
  <si>
    <t>TELÉFONO:</t>
  </si>
  <si>
    <t>2511-3237, 2511-8738, 4141</t>
  </si>
  <si>
    <t>ALAJUELA</t>
  </si>
  <si>
    <t>UPALA</t>
  </si>
  <si>
    <t>PIÑA Y BOSQUE</t>
  </si>
  <si>
    <t>DA_DP (Porosidad),</t>
  </si>
  <si>
    <t xml:space="preserve">20/04/2026 </t>
  </si>
  <si>
    <t xml:space="preserve">20/05/2026 </t>
  </si>
  <si>
    <t>24</t>
  </si>
  <si>
    <t>1/2</t>
  </si>
  <si>
    <t>PIÑA 5 (SERGIO ROJAS)R 1</t>
  </si>
  <si>
    <t>RN-26-00923</t>
  </si>
  <si>
    <t>PIÑA 5 (SERGIO ROJAS)R 2</t>
  </si>
  <si>
    <t>RN-26-00924</t>
  </si>
  <si>
    <t>PIÑA 5 (SERGIO ROJAS) R 3</t>
  </si>
  <si>
    <t>RN-26-00925</t>
  </si>
  <si>
    <t>PIÑA 5 (SERGIO ROJAS) R 4</t>
  </si>
  <si>
    <t>RN-26-00926</t>
  </si>
  <si>
    <t>PIÑA 5 (SERGIO ROJAS) R 5</t>
  </si>
  <si>
    <t>RN-26-00927</t>
  </si>
  <si>
    <t>PIÑA 5 (SERGIO ROJAS) R 6</t>
  </si>
  <si>
    <t>RN-26-00928</t>
  </si>
  <si>
    <t>PIÑA 5 (SERGIO ROJAS) R 7</t>
  </si>
  <si>
    <t>RN-26-00929</t>
  </si>
  <si>
    <t>PIÑA 5 (SERGIO ROJAS) R 8</t>
  </si>
  <si>
    <t>RN-26-00930</t>
  </si>
  <si>
    <t>PIÑA 6 (MARVIN ZAMORA) R 1</t>
  </si>
  <si>
    <t>RN-26-00931</t>
  </si>
  <si>
    <t>PIÑA 6 (MARVIN ZAMORA) R 2</t>
  </si>
  <si>
    <t>RN-26-00932</t>
  </si>
  <si>
    <t>PIÑA 6 (MARVIN ZAMORA)R 3</t>
  </si>
  <si>
    <t>RN-26-00933</t>
  </si>
  <si>
    <t>PIÑA 6 (MARVIN ZAMORA)R 4</t>
  </si>
  <si>
    <t>RN-26-00934</t>
  </si>
  <si>
    <t>PIÑA 6 (MARVIN ZAMORA)R 5</t>
  </si>
  <si>
    <t>RN-26-00935</t>
  </si>
  <si>
    <t>PIÑA 6 (MARVIN ZAMORA) R 6</t>
  </si>
  <si>
    <t>RN-26-00936</t>
  </si>
  <si>
    <t>PIÑA 6 (MARVIN ZAMORA) R 7</t>
  </si>
  <si>
    <t>RN-26-00937</t>
  </si>
  <si>
    <t>2/2</t>
  </si>
  <si>
    <t>PIÑA 6 (MARVIN ZAMORA) R 8</t>
  </si>
  <si>
    <t>RN-26-00938</t>
  </si>
  <si>
    <t>PIÑA 7 (ADRIAN RODRIGRUEZ) R 1</t>
  </si>
  <si>
    <t>RN-26-00939</t>
  </si>
  <si>
    <t>PIÑA 7 (ADRIAN RODRIGRUEZ)R 2</t>
  </si>
  <si>
    <t>RN-26-00940</t>
  </si>
  <si>
    <t>PIÑA 7 (ADRIAN RODRIGRUEZ)R 3</t>
  </si>
  <si>
    <t>RN-26-00941</t>
  </si>
  <si>
    <t>PIÑA 7 (ADRIAN RODRIGRUEZ)R 4</t>
  </si>
  <si>
    <t>RN-26-00942</t>
  </si>
  <si>
    <t>PIÑA 7 (ADRIAN RODRIGRUEZ)R 5</t>
  </si>
  <si>
    <t>RN-26-00943</t>
  </si>
  <si>
    <t>PIÑA 7 (ADRIAN RODRIGRUEZ)R 6</t>
  </si>
  <si>
    <t>RN-26-00944</t>
  </si>
  <si>
    <t>PIÑA 7 (ADRIAN RODRIGRUEZ) R 7</t>
  </si>
  <si>
    <t>RN-26-00945</t>
  </si>
  <si>
    <t>PIÑA 7 (ADRIAN RODRIGRUEZ) R 8</t>
  </si>
  <si>
    <t>RN-26-00946</t>
  </si>
  <si>
    <t>manuel.camachoumana@ucr.ac.cr; rebeca.sandovalruiz@ucr.ac.cr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</si>
</sst>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b/>
      <sz val="12"/>
      <color indexed="8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>
      <alignment vertical="top"/>
    </xf>
    <xf numFmtId="0" fontId="1" fillId="0" borderId="0">
      <alignment vertical="top"/>
    </xf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51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49" fontId="9" fillId="0" borderId="0" xfId="0" applyNumberFormat="1" applyFont="1" applyAlignment="1"/>
    <xf numFmtId="49" fontId="1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5" fillId="0" borderId="1" xfId="5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49" fontId="9" fillId="0" borderId="9" xfId="0" applyNumberFormat="1" applyFont="1" applyBorder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 wrapText="1" readingOrder="1"/>
    </xf>
    <xf numFmtId="0" fontId="5" fillId="0" borderId="1" xfId="5" applyFont="1" applyBorder="1" applyAlignment="1">
      <alignment horizontal="center" vertical="center" wrapText="1"/>
    </xf>
    <xf numFmtId="0" fontId="5" fillId="0" borderId="1" xfId="5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left"/>
    </xf>
    <xf numFmtId="49" fontId="9" fillId="0" borderId="2" xfId="0" applyNumberFormat="1" applyFont="1" applyBorder="1" applyAlignment="1">
      <alignment horizontal="left"/>
    </xf>
  </cellXfs>
  <cellStyles count="6">
    <cellStyle name="Hyperlink 2" xfId="2" xr:uid="{00000000-0005-0000-0000-000000000000}"/>
    <cellStyle name="Normal" xfId="0" builtinId="0"/>
    <cellStyle name="Normal 2" xfId="1" xr:uid="{00000000-0005-0000-0000-000002000000}"/>
    <cellStyle name="Normal 2 2" xfId="4" xr:uid="{00000000-0005-0000-0000-000003000000}"/>
    <cellStyle name="Normal 3" xfId="3" xr:uid="{00000000-0005-0000-0000-000004000000}"/>
    <cellStyle name="Normal 5" xfId="5" xr:uid="{6B11D541-9FED-4B94-9850-F1F3682589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9" name="8 Grup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10" name="9 CuadroText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11" name="8 Grup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Imagen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4" name="CuadroTexto 6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5" name="Picture 1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1" y="9544050"/>
          <a:ext cx="86677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114300</xdr:rowOff>
    </xdr:from>
    <xdr:to>
      <xdr:col>15</xdr:col>
      <xdr:colOff>114298</xdr:colOff>
      <xdr:row>48</xdr:row>
      <xdr:rowOff>76199</xdr:rowOff>
    </xdr:to>
    <xdr:grpSp>
      <xdr:nvGrpSpPr>
        <xdr:cNvPr id="2" name="8 Grupo">
          <a:extLst>
            <a:ext uri="{FF2B5EF4-FFF2-40B4-BE49-F238E27FC236}">
              <a16:creationId xmlns:a16="http://schemas.microsoft.com/office/drawing/2014/main" id="{27A1E839-D296-486F-B833-76DFDB9B55D7}"/>
            </a:ext>
          </a:extLst>
        </xdr:cNvPr>
        <xdr:cNvGrpSpPr/>
      </xdr:nvGrpSpPr>
      <xdr:grpSpPr>
        <a:xfrm>
          <a:off x="0" y="7886700"/>
          <a:ext cx="8267698" cy="1562099"/>
          <a:chOff x="600075" y="8296275"/>
          <a:chExt cx="7010398" cy="1562099"/>
        </a:xfrm>
      </xdr:grpSpPr>
      <xdr:sp macro="" textlink="">
        <xdr:nvSpPr>
          <xdr:cNvPr id="3" name="9 CuadroTexto">
            <a:extLst>
              <a:ext uri="{FF2B5EF4-FFF2-40B4-BE49-F238E27FC236}">
                <a16:creationId xmlns:a16="http://schemas.microsoft.com/office/drawing/2014/main" id="{C476265E-2077-B64C-CF8E-1D90BD0A545E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4" name="8 Grupo">
            <a:extLst>
              <a:ext uri="{FF2B5EF4-FFF2-40B4-BE49-F238E27FC236}">
                <a16:creationId xmlns:a16="http://schemas.microsoft.com/office/drawing/2014/main" id="{B8DBFC50-DD54-DF4C-D2FA-F4C87BE5D6D8}"/>
              </a:ext>
            </a:extLst>
          </xdr:cNvPr>
          <xdr:cNvGrpSpPr/>
        </xdr:nvGrpSpPr>
        <xdr:grpSpPr>
          <a:xfrm>
            <a:off x="600075" y="8391529"/>
            <a:ext cx="7010398" cy="1466845"/>
            <a:chOff x="783168" y="7916334"/>
            <a:chExt cx="7796684" cy="1386747"/>
          </a:xfrm>
        </xdr:grpSpPr>
        <xdr:sp macro="" textlink="">
          <xdr:nvSpPr>
            <xdr:cNvPr id="5" name="CuadroTexto 6">
              <a:extLst>
                <a:ext uri="{FF2B5EF4-FFF2-40B4-BE49-F238E27FC236}">
                  <a16:creationId xmlns:a16="http://schemas.microsoft.com/office/drawing/2014/main" id="{DD8CEA99-999C-3B6C-F516-49F23369E7BA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6" name="Imagen 7">
              <a:extLst>
                <a:ext uri="{FF2B5EF4-FFF2-40B4-BE49-F238E27FC236}">
                  <a16:creationId xmlns:a16="http://schemas.microsoft.com/office/drawing/2014/main" id="{0C14193D-2B88-4326-CD7D-9DC7B659860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8A8B4550-8E9A-4579-225D-2EA5AC0E6AA3}"/>
                </a:ext>
              </a:extLst>
            </xdr:cNvPr>
            <xdr:cNvSpPr txBox="1"/>
          </xdr:nvSpPr>
          <xdr:spPr>
            <a:xfrm>
              <a:off x="783168" y="8696873"/>
              <a:ext cx="3714749" cy="606208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8" name="Picture 1">
              <a:extLst>
                <a:ext uri="{FF2B5EF4-FFF2-40B4-BE49-F238E27FC236}">
                  <a16:creationId xmlns:a16="http://schemas.microsoft.com/office/drawing/2014/main" id="{BA0F14EC-65BA-019A-4A2A-D97C9C76B529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2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  <xdr:twoCellAnchor>
    <xdr:from>
      <xdr:col>0</xdr:col>
      <xdr:colOff>1</xdr:colOff>
      <xdr:row>48</xdr:row>
      <xdr:rowOff>123825</xdr:rowOff>
    </xdr:from>
    <xdr:to>
      <xdr:col>17</xdr:col>
      <xdr:colOff>19051</xdr:colOff>
      <xdr:row>51</xdr:row>
      <xdr:rowOff>76200</xdr:rowOff>
    </xdr:to>
    <xdr:sp macro="" textlink="">
      <xdr:nvSpPr>
        <xdr:cNvPr id="9" name="15 CuadroTexto">
          <a:extLst>
            <a:ext uri="{FF2B5EF4-FFF2-40B4-BE49-F238E27FC236}">
              <a16:creationId xmlns:a16="http://schemas.microsoft.com/office/drawing/2014/main" id="{DE841E36-47EA-45F5-B656-D8A7186F16D8}"/>
            </a:ext>
          </a:extLst>
        </xdr:cNvPr>
        <xdr:cNvSpPr txBox="1"/>
      </xdr:nvSpPr>
      <xdr:spPr>
        <a:xfrm>
          <a:off x="1" y="9505950"/>
          <a:ext cx="9629775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 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3"/>
  <sheetViews>
    <sheetView zoomScaleNormal="100" workbookViewId="0">
      <selection activeCell="A25" sqref="A25:G39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6" t="s">
        <v>14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Q1" s="10" t="e" vm="2">
        <v>#VALUE!</v>
      </c>
    </row>
    <row r="2" spans="1:17" ht="15.75" x14ac:dyDescent="0.25">
      <c r="D2" s="36" t="s">
        <v>15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7" ht="15.75" x14ac:dyDescent="0.25">
      <c r="B3" s="4"/>
      <c r="C3" s="4"/>
      <c r="D3" s="36" t="s">
        <v>5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7" ht="14.25" customHeight="1" x14ac:dyDescent="0.25">
      <c r="B4" s="4"/>
      <c r="C4" s="4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1:17" ht="1.5" customHeight="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4"/>
    </row>
    <row r="6" spans="1:17" ht="1.5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7" ht="1.5" customHeight="1" x14ac:dyDescent="0.2"/>
    <row r="8" spans="1:17" ht="20.100000000000001" customHeight="1" x14ac:dyDescent="0.3">
      <c r="A8" s="5" t="s">
        <v>6</v>
      </c>
      <c r="B8" s="38" t="s">
        <v>21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 spans="1:17" ht="12.75" customHeight="1" x14ac:dyDescent="0.2">
      <c r="A9" s="2" t="s">
        <v>0</v>
      </c>
      <c r="B9" s="39" t="s">
        <v>22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x14ac:dyDescent="0.2">
      <c r="A10" s="2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2.75" customHeight="1" x14ac:dyDescent="0.2">
      <c r="A11" s="2" t="s">
        <v>1</v>
      </c>
      <c r="B11" s="35" t="s">
        <v>23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 ht="12.75" customHeight="1" x14ac:dyDescent="0.2">
      <c r="A12" s="12" t="s">
        <v>24</v>
      </c>
      <c r="B12" s="40" t="s">
        <v>84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</row>
    <row r="13" spans="1:17" ht="12.75" customHeight="1" x14ac:dyDescent="0.2">
      <c r="A13" s="12" t="s">
        <v>25</v>
      </c>
      <c r="B13" s="35" t="s">
        <v>26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 ht="12.75" customHeight="1" x14ac:dyDescent="0.2">
      <c r="A14" s="2"/>
      <c r="B14" s="35"/>
      <c r="C14" s="35"/>
      <c r="D14" s="35"/>
      <c r="E14" s="35"/>
      <c r="F14" s="35"/>
      <c r="G14" s="35"/>
      <c r="H14" s="35"/>
      <c r="I14" s="35"/>
      <c r="J14" s="41" t="s">
        <v>7</v>
      </c>
      <c r="K14" s="41"/>
      <c r="L14" s="41"/>
      <c r="M14" s="41"/>
      <c r="N14" s="39" t="s">
        <v>30</v>
      </c>
      <c r="O14" s="39"/>
      <c r="P14" s="39"/>
      <c r="Q14" s="39"/>
    </row>
    <row r="15" spans="1:17" ht="12.75" customHeight="1" x14ac:dyDescent="0.2">
      <c r="A15" s="2" t="s">
        <v>2</v>
      </c>
      <c r="B15" s="35" t="s">
        <v>27</v>
      </c>
      <c r="C15" s="35"/>
      <c r="D15" s="35"/>
      <c r="E15" s="35"/>
      <c r="F15" s="35"/>
      <c r="G15" s="35"/>
      <c r="H15" s="35"/>
      <c r="I15" s="35"/>
      <c r="J15" s="41" t="s">
        <v>10</v>
      </c>
      <c r="K15" s="41"/>
      <c r="L15" s="41"/>
      <c r="M15" s="41"/>
      <c r="N15" s="39" t="s">
        <v>31</v>
      </c>
      <c r="O15" s="39"/>
      <c r="P15" s="39"/>
      <c r="Q15" s="39"/>
    </row>
    <row r="16" spans="1:17" ht="12.75" customHeight="1" x14ac:dyDescent="0.2">
      <c r="A16" s="2" t="s">
        <v>3</v>
      </c>
      <c r="B16" s="35" t="s">
        <v>28</v>
      </c>
      <c r="C16" s="35"/>
      <c r="D16" s="35"/>
      <c r="E16" s="35"/>
      <c r="F16" s="35"/>
      <c r="G16" s="35"/>
      <c r="H16" s="35"/>
      <c r="I16" s="35"/>
      <c r="J16" s="41" t="s">
        <v>8</v>
      </c>
      <c r="K16" s="41"/>
      <c r="L16" s="41"/>
      <c r="M16" s="41"/>
      <c r="N16" s="39" t="s">
        <v>32</v>
      </c>
      <c r="O16" s="39"/>
      <c r="P16" s="39"/>
      <c r="Q16" s="39"/>
    </row>
    <row r="17" spans="1:17" ht="12.75" customHeight="1" x14ac:dyDescent="0.2">
      <c r="A17" s="2"/>
      <c r="B17" s="42"/>
      <c r="C17" s="42"/>
      <c r="D17" s="42"/>
      <c r="E17" s="42"/>
      <c r="F17" s="42"/>
      <c r="G17" s="42"/>
      <c r="H17" s="42"/>
      <c r="I17" s="42"/>
      <c r="J17" s="43" t="s">
        <v>11</v>
      </c>
      <c r="K17" s="43"/>
      <c r="L17" s="43"/>
      <c r="M17" s="43"/>
      <c r="N17" s="39" t="s">
        <v>33</v>
      </c>
      <c r="O17" s="39"/>
      <c r="P17" s="39"/>
      <c r="Q17" s="39"/>
    </row>
    <row r="18" spans="1:17" ht="12.75" customHeight="1" x14ac:dyDescent="0.2">
      <c r="A18" s="2" t="s">
        <v>4</v>
      </c>
      <c r="B18" s="35" t="s">
        <v>29</v>
      </c>
      <c r="C18" s="35"/>
      <c r="D18" s="35"/>
      <c r="E18" s="35"/>
      <c r="F18" s="35"/>
      <c r="G18" s="35"/>
      <c r="H18" s="35"/>
      <c r="I18" s="35"/>
      <c r="J18" s="41" t="s">
        <v>9</v>
      </c>
      <c r="K18" s="41"/>
      <c r="L18" s="41"/>
      <c r="M18" s="41"/>
      <c r="N18" s="39" t="s">
        <v>34</v>
      </c>
      <c r="O18" s="39"/>
      <c r="P18" s="39"/>
      <c r="Q18" s="39"/>
    </row>
    <row r="19" spans="1:17" ht="1.5" customHeight="1" x14ac:dyDescent="0.2">
      <c r="C19" s="2"/>
    </row>
    <row r="20" spans="1:17" ht="22.5" customHeight="1" x14ac:dyDescent="0.2">
      <c r="A20" s="45"/>
      <c r="B20" s="45"/>
      <c r="C20" s="45"/>
      <c r="D20" s="45"/>
      <c r="E20" s="45"/>
      <c r="F20" s="45"/>
      <c r="G20" s="45"/>
      <c r="H20" s="45"/>
    </row>
    <row r="21" spans="1:17" ht="15.75" customHeight="1" x14ac:dyDescent="0.2">
      <c r="A21" s="48" t="s">
        <v>12</v>
      </c>
      <c r="B21" s="48"/>
      <c r="C21" s="48"/>
      <c r="D21" s="48" t="s">
        <v>13</v>
      </c>
      <c r="E21" s="46" t="s">
        <v>17</v>
      </c>
      <c r="F21" s="46" t="s">
        <v>18</v>
      </c>
      <c r="G21" s="46" t="s">
        <v>19</v>
      </c>
    </row>
    <row r="22" spans="1:17" ht="15" customHeight="1" x14ac:dyDescent="0.2">
      <c r="A22" s="48"/>
      <c r="B22" s="48"/>
      <c r="C22" s="48"/>
      <c r="D22" s="48"/>
      <c r="E22" s="46"/>
      <c r="F22" s="46"/>
      <c r="G22" s="46"/>
    </row>
    <row r="23" spans="1:17" ht="15.75" customHeight="1" x14ac:dyDescent="0.2">
      <c r="A23" s="48"/>
      <c r="B23" s="48"/>
      <c r="C23" s="48"/>
      <c r="D23" s="48"/>
      <c r="E23" s="46"/>
      <c r="F23" s="46"/>
      <c r="G23" s="46"/>
    </row>
    <row r="24" spans="1:17" ht="15.75" customHeight="1" x14ac:dyDescent="0.2">
      <c r="A24" s="48"/>
      <c r="B24" s="48"/>
      <c r="C24" s="48"/>
      <c r="D24" s="48"/>
      <c r="E24" s="47" t="s">
        <v>20</v>
      </c>
      <c r="F24" s="47"/>
      <c r="G24" s="11" t="s">
        <v>16</v>
      </c>
    </row>
    <row r="25" spans="1:17" ht="15.95" customHeight="1" x14ac:dyDescent="0.2">
      <c r="A25" s="49" t="s">
        <v>35</v>
      </c>
      <c r="B25" s="50"/>
      <c r="C25" s="50"/>
      <c r="D25" s="13" t="s">
        <v>36</v>
      </c>
      <c r="E25" s="15">
        <v>0.92</v>
      </c>
      <c r="F25" s="25">
        <v>2.6</v>
      </c>
      <c r="G25" s="17">
        <f>+(1-(E25/F25))*100</f>
        <v>64.615384615384613</v>
      </c>
    </row>
    <row r="26" spans="1:17" ht="15.95" customHeight="1" x14ac:dyDescent="0.2">
      <c r="A26" s="33" t="s">
        <v>37</v>
      </c>
      <c r="B26" s="34"/>
      <c r="C26" s="34"/>
      <c r="D26" s="14" t="s">
        <v>38</v>
      </c>
      <c r="E26" s="18">
        <v>0.94</v>
      </c>
      <c r="F26" s="26">
        <v>2.61</v>
      </c>
      <c r="G26" s="20">
        <f t="shared" ref="G26:G39" si="0">+(1-(E26/F26))*100</f>
        <v>63.984674329501921</v>
      </c>
    </row>
    <row r="27" spans="1:17" ht="15.95" customHeight="1" x14ac:dyDescent="0.2">
      <c r="A27" s="33" t="s">
        <v>39</v>
      </c>
      <c r="B27" s="34"/>
      <c r="C27" s="34"/>
      <c r="D27" s="14" t="s">
        <v>40</v>
      </c>
      <c r="E27" s="18">
        <v>0.85</v>
      </c>
      <c r="F27" s="26">
        <v>2.62</v>
      </c>
      <c r="G27" s="20">
        <f t="shared" si="0"/>
        <v>67.55725190839695</v>
      </c>
    </row>
    <row r="28" spans="1:17" ht="15.95" customHeight="1" x14ac:dyDescent="0.2">
      <c r="A28" s="33" t="s">
        <v>41</v>
      </c>
      <c r="B28" s="34"/>
      <c r="C28" s="34"/>
      <c r="D28" s="14" t="s">
        <v>42</v>
      </c>
      <c r="E28" s="18">
        <v>0.86</v>
      </c>
      <c r="F28" s="26">
        <v>2.62</v>
      </c>
      <c r="G28" s="20">
        <f t="shared" si="0"/>
        <v>67.175572519083971</v>
      </c>
    </row>
    <row r="29" spans="1:17" ht="15.95" customHeight="1" x14ac:dyDescent="0.2">
      <c r="A29" s="33" t="s">
        <v>43</v>
      </c>
      <c r="B29" s="34"/>
      <c r="C29" s="34"/>
      <c r="D29" s="14" t="s">
        <v>44</v>
      </c>
      <c r="E29" s="18">
        <v>0.82</v>
      </c>
      <c r="F29" s="26">
        <v>2.56</v>
      </c>
      <c r="G29" s="20">
        <f t="shared" si="0"/>
        <v>67.96875</v>
      </c>
    </row>
    <row r="30" spans="1:17" ht="15.95" customHeight="1" x14ac:dyDescent="0.2">
      <c r="A30" s="33" t="s">
        <v>45</v>
      </c>
      <c r="B30" s="34"/>
      <c r="C30" s="34"/>
      <c r="D30" s="14" t="s">
        <v>46</v>
      </c>
      <c r="E30" s="18">
        <v>0.84</v>
      </c>
      <c r="F30" s="26">
        <v>2.62</v>
      </c>
      <c r="G30" s="20">
        <f t="shared" si="0"/>
        <v>67.938931297709928</v>
      </c>
    </row>
    <row r="31" spans="1:17" ht="15.95" customHeight="1" x14ac:dyDescent="0.2">
      <c r="A31" s="33" t="s">
        <v>47</v>
      </c>
      <c r="B31" s="34"/>
      <c r="C31" s="34"/>
      <c r="D31" s="14" t="s">
        <v>48</v>
      </c>
      <c r="E31" s="18">
        <v>0.89</v>
      </c>
      <c r="F31" s="26">
        <v>2.6</v>
      </c>
      <c r="G31" s="20">
        <f t="shared" si="0"/>
        <v>65.769230769230774</v>
      </c>
    </row>
    <row r="32" spans="1:17" ht="15.95" customHeight="1" x14ac:dyDescent="0.2">
      <c r="A32" s="33" t="s">
        <v>49</v>
      </c>
      <c r="B32" s="34"/>
      <c r="C32" s="34"/>
      <c r="D32" s="14" t="s">
        <v>50</v>
      </c>
      <c r="E32" s="18">
        <v>0.88</v>
      </c>
      <c r="F32" s="26">
        <v>2.62</v>
      </c>
      <c r="G32" s="20">
        <f t="shared" si="0"/>
        <v>66.412213740458014</v>
      </c>
    </row>
    <row r="33" spans="1:7" ht="15.95" customHeight="1" x14ac:dyDescent="0.2">
      <c r="A33" s="33" t="s">
        <v>51</v>
      </c>
      <c r="B33" s="34"/>
      <c r="C33" s="34"/>
      <c r="D33" s="14" t="s">
        <v>52</v>
      </c>
      <c r="E33" s="18">
        <v>0.96</v>
      </c>
      <c r="F33" s="26">
        <v>2.39</v>
      </c>
      <c r="G33" s="20">
        <f t="shared" si="0"/>
        <v>59.832635983263607</v>
      </c>
    </row>
    <row r="34" spans="1:7" ht="15.95" customHeight="1" x14ac:dyDescent="0.2">
      <c r="A34" s="33" t="s">
        <v>53</v>
      </c>
      <c r="B34" s="34"/>
      <c r="C34" s="34"/>
      <c r="D34" s="14" t="s">
        <v>54</v>
      </c>
      <c r="E34" s="18">
        <v>1.1000000000000001</v>
      </c>
      <c r="F34" s="26">
        <v>2.4300000000000002</v>
      </c>
      <c r="G34" s="20">
        <f t="shared" si="0"/>
        <v>54.732510288065853</v>
      </c>
    </row>
    <row r="35" spans="1:7" ht="15.95" customHeight="1" x14ac:dyDescent="0.2">
      <c r="A35" s="33" t="s">
        <v>55</v>
      </c>
      <c r="B35" s="34"/>
      <c r="C35" s="34"/>
      <c r="D35" s="14" t="s">
        <v>56</v>
      </c>
      <c r="E35" s="18">
        <v>0.9</v>
      </c>
      <c r="F35" s="26">
        <v>2.44</v>
      </c>
      <c r="G35" s="20">
        <f t="shared" si="0"/>
        <v>63.114754098360649</v>
      </c>
    </row>
    <row r="36" spans="1:7" ht="15.95" customHeight="1" x14ac:dyDescent="0.2">
      <c r="A36" s="33" t="s">
        <v>57</v>
      </c>
      <c r="B36" s="34"/>
      <c r="C36" s="34"/>
      <c r="D36" s="14" t="s">
        <v>58</v>
      </c>
      <c r="E36" s="18">
        <v>1</v>
      </c>
      <c r="F36" s="26">
        <v>2.4500000000000002</v>
      </c>
      <c r="G36" s="20">
        <f t="shared" si="0"/>
        <v>59.183673469387756</v>
      </c>
    </row>
    <row r="37" spans="1:7" ht="15.95" customHeight="1" x14ac:dyDescent="0.2">
      <c r="A37" s="33" t="s">
        <v>59</v>
      </c>
      <c r="B37" s="34"/>
      <c r="C37" s="34"/>
      <c r="D37" s="14" t="s">
        <v>60</v>
      </c>
      <c r="E37" s="18">
        <v>1.08</v>
      </c>
      <c r="F37" s="26">
        <v>2.39</v>
      </c>
      <c r="G37" s="20">
        <f t="shared" si="0"/>
        <v>54.811715481171539</v>
      </c>
    </row>
    <row r="38" spans="1:7" ht="15.95" customHeight="1" x14ac:dyDescent="0.2">
      <c r="A38" s="33" t="s">
        <v>61</v>
      </c>
      <c r="B38" s="34"/>
      <c r="C38" s="34"/>
      <c r="D38" s="14" t="s">
        <v>62</v>
      </c>
      <c r="E38" s="18">
        <v>0.9</v>
      </c>
      <c r="F38" s="26">
        <v>2.44</v>
      </c>
      <c r="G38" s="20">
        <f t="shared" si="0"/>
        <v>63.114754098360649</v>
      </c>
    </row>
    <row r="39" spans="1:7" ht="15.95" customHeight="1" x14ac:dyDescent="0.2">
      <c r="A39" s="31" t="s">
        <v>63</v>
      </c>
      <c r="B39" s="32"/>
      <c r="C39" s="32"/>
      <c r="D39" s="24" t="s">
        <v>64</v>
      </c>
      <c r="E39" s="21">
        <v>0.89</v>
      </c>
      <c r="F39" s="27">
        <v>2.44</v>
      </c>
      <c r="G39" s="23">
        <f t="shared" si="0"/>
        <v>63.524590163934427</v>
      </c>
    </row>
    <row r="40" spans="1:7" ht="15.75" customHeight="1" x14ac:dyDescent="0.2">
      <c r="A40" s="6"/>
      <c r="B40" s="6"/>
      <c r="C40" s="6"/>
      <c r="D40" s="8"/>
    </row>
    <row r="41" spans="1:7" ht="15.75" customHeight="1" x14ac:dyDescent="0.2">
      <c r="A41" s="6"/>
      <c r="B41" s="6"/>
      <c r="C41" s="6"/>
      <c r="D41" s="8"/>
    </row>
    <row r="42" spans="1:7" ht="15.75" customHeight="1" x14ac:dyDescent="0.2">
      <c r="A42" s="6"/>
      <c r="B42" s="6"/>
      <c r="C42" s="6"/>
      <c r="D42" s="8"/>
    </row>
    <row r="43" spans="1:7" ht="15.75" customHeight="1" x14ac:dyDescent="0.2">
      <c r="A43" s="6"/>
      <c r="B43" s="6"/>
      <c r="C43" s="6"/>
      <c r="D43" s="8"/>
    </row>
    <row r="44" spans="1:7" ht="15.75" customHeight="1" x14ac:dyDescent="0.2">
      <c r="A44" s="6"/>
      <c r="B44" s="6"/>
      <c r="C44" s="6"/>
      <c r="D44" s="8"/>
    </row>
    <row r="45" spans="1:7" ht="15.75" customHeight="1" x14ac:dyDescent="0.2">
      <c r="A45" s="6"/>
      <c r="B45" s="6"/>
      <c r="C45" s="6"/>
      <c r="D45" s="8"/>
    </row>
    <row r="46" spans="1:7" ht="15.75" customHeight="1" x14ac:dyDescent="0.2">
      <c r="A46" s="6"/>
      <c r="B46" s="6"/>
      <c r="C46" s="6"/>
      <c r="D46" s="8"/>
    </row>
    <row r="47" spans="1:7" ht="15.75" customHeight="1" x14ac:dyDescent="0.2">
      <c r="A47" s="6"/>
      <c r="B47" s="6"/>
      <c r="C47" s="6"/>
      <c r="D47" s="8"/>
    </row>
    <row r="48" spans="1:7" ht="15.75" customHeight="1" x14ac:dyDescent="0.2">
      <c r="B48" s="7"/>
      <c r="C48" s="7"/>
      <c r="D48" s="9"/>
    </row>
    <row r="49" spans="1:18" ht="15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</row>
    <row r="50" spans="1:18" ht="15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  <row r="57" spans="1:18" x14ac:dyDescent="0.2">
      <c r="A57" s="7"/>
      <c r="B57" s="7"/>
      <c r="C57" s="7"/>
      <c r="D57" s="9"/>
    </row>
    <row r="58" spans="1:18" x14ac:dyDescent="0.2">
      <c r="A58" s="7"/>
      <c r="B58" s="7"/>
      <c r="C58" s="7"/>
      <c r="D58" s="9"/>
    </row>
    <row r="59" spans="1:18" x14ac:dyDescent="0.2">
      <c r="A59" s="7"/>
      <c r="B59" s="7"/>
      <c r="C59" s="7"/>
      <c r="D59" s="9"/>
    </row>
    <row r="60" spans="1:18" x14ac:dyDescent="0.2">
      <c r="A60" s="7"/>
      <c r="B60" s="7"/>
      <c r="C60" s="7"/>
      <c r="D60" s="9"/>
    </row>
    <row r="61" spans="1:18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</sheetData>
  <mergeCells count="51">
    <mergeCell ref="A49:R49"/>
    <mergeCell ref="A50:R50"/>
    <mergeCell ref="B18:I18"/>
    <mergeCell ref="J18:M18"/>
    <mergeCell ref="N18:Q18"/>
    <mergeCell ref="A20:H20"/>
    <mergeCell ref="E21:E23"/>
    <mergeCell ref="F21:F23"/>
    <mergeCell ref="G21:G23"/>
    <mergeCell ref="E24:F24"/>
    <mergeCell ref="A21:C24"/>
    <mergeCell ref="D21:D24"/>
    <mergeCell ref="A25:C25"/>
    <mergeCell ref="A26:C26"/>
    <mergeCell ref="A27:C27"/>
    <mergeCell ref="A28:C28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29:C29"/>
    <mergeCell ref="A30:C30"/>
    <mergeCell ref="A31:C31"/>
    <mergeCell ref="A32:C32"/>
    <mergeCell ref="A33:C33"/>
    <mergeCell ref="A39:C39"/>
    <mergeCell ref="A34:C34"/>
    <mergeCell ref="A35:C35"/>
    <mergeCell ref="A36:C36"/>
    <mergeCell ref="A37:C37"/>
    <mergeCell ref="A38:C38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5007-2D64-4CC9-BDFA-43136886FFFC}">
  <sheetPr>
    <pageSetUpPr fitToPage="1"/>
  </sheetPr>
  <dimension ref="A1:R63"/>
  <sheetViews>
    <sheetView tabSelected="1" topLeftCell="A2" zoomScaleNormal="100" workbookViewId="0">
      <selection activeCell="A25" sqref="A25:G33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7" width="12.28515625" style="1" customWidth="1"/>
    <col min="8" max="8" width="14.5703125" style="1" customWidth="1"/>
    <col min="9" max="9" width="1.5703125" style="1" customWidth="1"/>
    <col min="10" max="11" width="5.85546875" style="1" customWidth="1"/>
    <col min="12" max="12" width="4.85546875" style="1" customWidth="1"/>
    <col min="13" max="13" width="5.5703125" style="1" customWidth="1"/>
    <col min="14" max="16" width="4.85546875" style="1" customWidth="1"/>
    <col min="17" max="17" width="17" style="1" customWidth="1"/>
    <col min="18" max="18" width="2" style="1" customWidth="1"/>
    <col min="19" max="16384" width="11.42578125" style="1"/>
  </cols>
  <sheetData>
    <row r="1" spans="1:17" ht="76.5" customHeight="1" x14ac:dyDescent="0.25">
      <c r="A1" s="8" t="e" vm="1">
        <v>#VALUE!</v>
      </c>
      <c r="D1" s="36" t="s">
        <v>14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Q1" s="10" t="e" vm="2">
        <v>#VALUE!</v>
      </c>
    </row>
    <row r="2" spans="1:17" ht="15.75" x14ac:dyDescent="0.25">
      <c r="D2" s="36" t="s">
        <v>15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</row>
    <row r="3" spans="1:17" ht="15.75" x14ac:dyDescent="0.25">
      <c r="B3" s="4"/>
      <c r="C3" s="4"/>
      <c r="D3" s="36" t="s">
        <v>5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1:17" ht="14.25" customHeight="1" x14ac:dyDescent="0.25">
      <c r="B4" s="4"/>
      <c r="C4" s="4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</row>
    <row r="5" spans="1:17" ht="1.5" customHeight="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4"/>
    </row>
    <row r="6" spans="1:17" ht="1.5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7" ht="1.5" customHeight="1" x14ac:dyDescent="0.2"/>
    <row r="8" spans="1:17" ht="20.100000000000001" customHeight="1" x14ac:dyDescent="0.3">
      <c r="A8" s="5" t="s">
        <v>6</v>
      </c>
      <c r="B8" s="38" t="s">
        <v>21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</row>
    <row r="9" spans="1:17" ht="12.75" customHeight="1" x14ac:dyDescent="0.2">
      <c r="A9" s="2" t="s">
        <v>0</v>
      </c>
      <c r="B9" s="39" t="s">
        <v>22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</row>
    <row r="10" spans="1:17" x14ac:dyDescent="0.2">
      <c r="A10" s="2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spans="1:17" ht="12.75" customHeight="1" x14ac:dyDescent="0.2">
      <c r="A11" s="2" t="s">
        <v>1</v>
      </c>
      <c r="B11" s="35" t="s">
        <v>23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</row>
    <row r="12" spans="1:17" ht="12.75" customHeight="1" x14ac:dyDescent="0.2">
      <c r="A12" s="12" t="s">
        <v>24</v>
      </c>
      <c r="B12" s="40" t="s">
        <v>84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</row>
    <row r="13" spans="1:17" ht="12.75" customHeight="1" x14ac:dyDescent="0.2">
      <c r="A13" s="12" t="s">
        <v>25</v>
      </c>
      <c r="B13" s="35" t="s">
        <v>26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</row>
    <row r="14" spans="1:17" ht="12.75" customHeight="1" x14ac:dyDescent="0.2">
      <c r="A14" s="2"/>
      <c r="B14" s="35"/>
      <c r="C14" s="35"/>
      <c r="D14" s="35"/>
      <c r="E14" s="35"/>
      <c r="F14" s="35"/>
      <c r="G14" s="35"/>
      <c r="H14" s="35"/>
      <c r="I14" s="35"/>
      <c r="J14" s="41" t="s">
        <v>7</v>
      </c>
      <c r="K14" s="41"/>
      <c r="L14" s="41"/>
      <c r="M14" s="41"/>
      <c r="N14" s="39" t="s">
        <v>30</v>
      </c>
      <c r="O14" s="39"/>
      <c r="P14" s="39"/>
      <c r="Q14" s="39"/>
    </row>
    <row r="15" spans="1:17" ht="12.75" customHeight="1" x14ac:dyDescent="0.2">
      <c r="A15" s="2" t="s">
        <v>2</v>
      </c>
      <c r="B15" s="35" t="s">
        <v>27</v>
      </c>
      <c r="C15" s="35"/>
      <c r="D15" s="35"/>
      <c r="E15" s="35"/>
      <c r="F15" s="35"/>
      <c r="G15" s="35"/>
      <c r="H15" s="35"/>
      <c r="I15" s="35"/>
      <c r="J15" s="41" t="s">
        <v>10</v>
      </c>
      <c r="K15" s="41"/>
      <c r="L15" s="41"/>
      <c r="M15" s="41"/>
      <c r="N15" s="39" t="s">
        <v>31</v>
      </c>
      <c r="O15" s="39"/>
      <c r="P15" s="39"/>
      <c r="Q15" s="39"/>
    </row>
    <row r="16" spans="1:17" ht="12.75" customHeight="1" x14ac:dyDescent="0.2">
      <c r="A16" s="2" t="s">
        <v>3</v>
      </c>
      <c r="B16" s="35" t="s">
        <v>28</v>
      </c>
      <c r="C16" s="35"/>
      <c r="D16" s="35"/>
      <c r="E16" s="35"/>
      <c r="F16" s="35"/>
      <c r="G16" s="35"/>
      <c r="H16" s="35"/>
      <c r="I16" s="35"/>
      <c r="J16" s="41" t="s">
        <v>8</v>
      </c>
      <c r="K16" s="41"/>
      <c r="L16" s="41"/>
      <c r="M16" s="41"/>
      <c r="N16" s="39" t="s">
        <v>32</v>
      </c>
      <c r="O16" s="39"/>
      <c r="P16" s="39"/>
      <c r="Q16" s="39"/>
    </row>
    <row r="17" spans="1:17" ht="12.75" customHeight="1" x14ac:dyDescent="0.2">
      <c r="A17" s="2"/>
      <c r="B17" s="42"/>
      <c r="C17" s="42"/>
      <c r="D17" s="42"/>
      <c r="E17" s="42"/>
      <c r="F17" s="42"/>
      <c r="G17" s="42"/>
      <c r="H17" s="42"/>
      <c r="I17" s="42"/>
      <c r="J17" s="43" t="s">
        <v>11</v>
      </c>
      <c r="K17" s="43"/>
      <c r="L17" s="43"/>
      <c r="M17" s="43"/>
      <c r="N17" s="39" t="s">
        <v>33</v>
      </c>
      <c r="O17" s="39"/>
      <c r="P17" s="39"/>
      <c r="Q17" s="39"/>
    </row>
    <row r="18" spans="1:17" ht="12.75" customHeight="1" x14ac:dyDescent="0.2">
      <c r="A18" s="2" t="s">
        <v>4</v>
      </c>
      <c r="B18" s="35" t="s">
        <v>29</v>
      </c>
      <c r="C18" s="35"/>
      <c r="D18" s="35"/>
      <c r="E18" s="35"/>
      <c r="F18" s="35"/>
      <c r="G18" s="35"/>
      <c r="H18" s="35"/>
      <c r="I18" s="35"/>
      <c r="J18" s="41" t="s">
        <v>9</v>
      </c>
      <c r="K18" s="41"/>
      <c r="L18" s="41"/>
      <c r="M18" s="41"/>
      <c r="N18" s="39" t="s">
        <v>65</v>
      </c>
      <c r="O18" s="39"/>
      <c r="P18" s="39"/>
      <c r="Q18" s="39"/>
    </row>
    <row r="19" spans="1:17" ht="1.5" customHeight="1" x14ac:dyDescent="0.2">
      <c r="C19" s="2"/>
    </row>
    <row r="20" spans="1:17" ht="22.5" customHeight="1" x14ac:dyDescent="0.2">
      <c r="A20" s="45"/>
      <c r="B20" s="45"/>
      <c r="C20" s="45"/>
      <c r="D20" s="45"/>
      <c r="E20" s="45"/>
      <c r="F20" s="45"/>
      <c r="G20" s="45"/>
      <c r="H20" s="45"/>
    </row>
    <row r="21" spans="1:17" ht="15.75" customHeight="1" x14ac:dyDescent="0.2">
      <c r="A21" s="48" t="s">
        <v>12</v>
      </c>
      <c r="B21" s="48"/>
      <c r="C21" s="48"/>
      <c r="D21" s="48" t="s">
        <v>13</v>
      </c>
      <c r="E21" s="46" t="s">
        <v>17</v>
      </c>
      <c r="F21" s="46" t="s">
        <v>18</v>
      </c>
      <c r="G21" s="46" t="s">
        <v>19</v>
      </c>
    </row>
    <row r="22" spans="1:17" ht="15" customHeight="1" x14ac:dyDescent="0.2">
      <c r="A22" s="48"/>
      <c r="B22" s="48"/>
      <c r="C22" s="48"/>
      <c r="D22" s="48"/>
      <c r="E22" s="46"/>
      <c r="F22" s="46"/>
      <c r="G22" s="46"/>
    </row>
    <row r="23" spans="1:17" ht="15.75" customHeight="1" x14ac:dyDescent="0.2">
      <c r="A23" s="48"/>
      <c r="B23" s="48"/>
      <c r="C23" s="48"/>
      <c r="D23" s="48"/>
      <c r="E23" s="46"/>
      <c r="F23" s="46"/>
      <c r="G23" s="46"/>
    </row>
    <row r="24" spans="1:17" ht="15.75" customHeight="1" x14ac:dyDescent="0.2">
      <c r="A24" s="48"/>
      <c r="B24" s="48"/>
      <c r="C24" s="48"/>
      <c r="D24" s="48"/>
      <c r="E24" s="47" t="s">
        <v>20</v>
      </c>
      <c r="F24" s="47"/>
      <c r="G24" s="11" t="s">
        <v>16</v>
      </c>
    </row>
    <row r="25" spans="1:17" ht="15.95" customHeight="1" x14ac:dyDescent="0.2">
      <c r="A25" s="49" t="s">
        <v>66</v>
      </c>
      <c r="B25" s="50"/>
      <c r="C25" s="50"/>
      <c r="D25" s="13" t="s">
        <v>67</v>
      </c>
      <c r="E25" s="16">
        <v>0.9</v>
      </c>
      <c r="F25" s="25">
        <v>2.4500000000000002</v>
      </c>
      <c r="G25" s="28">
        <f t="shared" ref="G25:G33" si="0">+(1-(E25/F25))*100</f>
        <v>63.265306122448983</v>
      </c>
    </row>
    <row r="26" spans="1:17" ht="15.95" customHeight="1" x14ac:dyDescent="0.2">
      <c r="A26" s="33" t="s">
        <v>68</v>
      </c>
      <c r="B26" s="34"/>
      <c r="C26" s="34"/>
      <c r="D26" s="14" t="s">
        <v>69</v>
      </c>
      <c r="E26" s="19">
        <v>0.92</v>
      </c>
      <c r="F26" s="26">
        <v>2.44</v>
      </c>
      <c r="G26" s="29">
        <f t="shared" si="0"/>
        <v>62.295081967213115</v>
      </c>
    </row>
    <row r="27" spans="1:17" ht="15.95" customHeight="1" x14ac:dyDescent="0.2">
      <c r="A27" s="33" t="s">
        <v>70</v>
      </c>
      <c r="B27" s="34"/>
      <c r="C27" s="34"/>
      <c r="D27" s="14" t="s">
        <v>71</v>
      </c>
      <c r="E27" s="19">
        <v>1.06</v>
      </c>
      <c r="F27" s="26">
        <v>2.4900000000000002</v>
      </c>
      <c r="G27" s="29">
        <f t="shared" si="0"/>
        <v>57.429718875502012</v>
      </c>
    </row>
    <row r="28" spans="1:17" ht="15.95" customHeight="1" x14ac:dyDescent="0.2">
      <c r="A28" s="33" t="s">
        <v>72</v>
      </c>
      <c r="B28" s="34"/>
      <c r="C28" s="34"/>
      <c r="D28" s="14" t="s">
        <v>73</v>
      </c>
      <c r="E28" s="19">
        <v>1.03</v>
      </c>
      <c r="F28" s="26">
        <v>2.4900000000000002</v>
      </c>
      <c r="G28" s="29">
        <f t="shared" si="0"/>
        <v>58.634538152610439</v>
      </c>
    </row>
    <row r="29" spans="1:17" ht="15.95" customHeight="1" x14ac:dyDescent="0.2">
      <c r="A29" s="33" t="s">
        <v>74</v>
      </c>
      <c r="B29" s="34"/>
      <c r="C29" s="34"/>
      <c r="D29" s="14" t="s">
        <v>75</v>
      </c>
      <c r="E29" s="19">
        <v>1.02</v>
      </c>
      <c r="F29" s="26">
        <v>2.5</v>
      </c>
      <c r="G29" s="29">
        <f t="shared" si="0"/>
        <v>59.199999999999996</v>
      </c>
    </row>
    <row r="30" spans="1:17" ht="15.95" customHeight="1" x14ac:dyDescent="0.2">
      <c r="A30" s="33" t="s">
        <v>76</v>
      </c>
      <c r="B30" s="34"/>
      <c r="C30" s="34"/>
      <c r="D30" s="14" t="s">
        <v>77</v>
      </c>
      <c r="E30" s="19">
        <v>0.97</v>
      </c>
      <c r="F30" s="26">
        <v>2.4500000000000002</v>
      </c>
      <c r="G30" s="29">
        <f t="shared" si="0"/>
        <v>60.408163265306122</v>
      </c>
    </row>
    <row r="31" spans="1:17" ht="15.95" customHeight="1" x14ac:dyDescent="0.2">
      <c r="A31" s="33" t="s">
        <v>78</v>
      </c>
      <c r="B31" s="34"/>
      <c r="C31" s="34"/>
      <c r="D31" s="14" t="s">
        <v>79</v>
      </c>
      <c r="E31" s="19">
        <v>0.93</v>
      </c>
      <c r="F31" s="26">
        <v>2.5</v>
      </c>
      <c r="G31" s="29">
        <f t="shared" si="0"/>
        <v>62.8</v>
      </c>
    </row>
    <row r="32" spans="1:17" ht="15.95" customHeight="1" x14ac:dyDescent="0.2">
      <c r="A32" s="33" t="s">
        <v>80</v>
      </c>
      <c r="B32" s="34"/>
      <c r="C32" s="34"/>
      <c r="D32" s="14" t="s">
        <v>81</v>
      </c>
      <c r="E32" s="19">
        <v>1.01</v>
      </c>
      <c r="F32" s="26">
        <v>2.4900000000000002</v>
      </c>
      <c r="G32" s="29">
        <f t="shared" si="0"/>
        <v>59.437751004016071</v>
      </c>
    </row>
    <row r="33" spans="1:7" ht="15.95" customHeight="1" x14ac:dyDescent="0.2">
      <c r="A33" s="31" t="s">
        <v>82</v>
      </c>
      <c r="B33" s="32"/>
      <c r="C33" s="32"/>
      <c r="D33" s="24" t="s">
        <v>83</v>
      </c>
      <c r="E33" s="22">
        <v>0.98</v>
      </c>
      <c r="F33" s="27">
        <v>2.48</v>
      </c>
      <c r="G33" s="30">
        <f t="shared" si="0"/>
        <v>60.483870967741936</v>
      </c>
    </row>
    <row r="34" spans="1:7" ht="15.75" customHeight="1" x14ac:dyDescent="0.2">
      <c r="A34" s="6"/>
      <c r="B34" s="6"/>
      <c r="C34" s="6"/>
      <c r="D34" s="8"/>
    </row>
    <row r="35" spans="1:7" ht="15.75" customHeight="1" x14ac:dyDescent="0.2">
      <c r="A35" s="6"/>
      <c r="B35" s="6"/>
      <c r="C35" s="6"/>
      <c r="D35" s="8"/>
    </row>
    <row r="36" spans="1:7" ht="15.95" customHeight="1" x14ac:dyDescent="0.2">
      <c r="A36" s="6"/>
      <c r="B36" s="6"/>
      <c r="C36" s="6"/>
      <c r="D36" s="8"/>
    </row>
    <row r="37" spans="1:7" ht="15.95" customHeight="1" x14ac:dyDescent="0.2">
      <c r="A37" s="6"/>
      <c r="B37" s="6"/>
      <c r="C37" s="6"/>
      <c r="D37" s="8"/>
    </row>
    <row r="38" spans="1:7" ht="15.95" customHeight="1" x14ac:dyDescent="0.2">
      <c r="A38" s="6"/>
      <c r="B38" s="6"/>
      <c r="C38" s="6"/>
      <c r="D38" s="8"/>
    </row>
    <row r="39" spans="1:7" ht="15.95" customHeight="1" x14ac:dyDescent="0.2">
      <c r="A39" s="6"/>
      <c r="B39" s="6"/>
      <c r="C39" s="6"/>
      <c r="D39" s="8"/>
    </row>
    <row r="40" spans="1:7" ht="15.95" customHeight="1" x14ac:dyDescent="0.2">
      <c r="A40" s="6"/>
      <c r="B40" s="6"/>
      <c r="C40" s="6"/>
      <c r="D40" s="8"/>
    </row>
    <row r="41" spans="1:7" ht="15.95" customHeight="1" x14ac:dyDescent="0.2">
      <c r="A41" s="6"/>
      <c r="B41" s="6"/>
      <c r="C41" s="6"/>
      <c r="D41" s="8"/>
    </row>
    <row r="42" spans="1:7" ht="15.75" customHeight="1" x14ac:dyDescent="0.2">
      <c r="A42" s="6"/>
      <c r="B42" s="6"/>
      <c r="C42" s="6"/>
      <c r="D42" s="8"/>
    </row>
    <row r="43" spans="1:7" ht="15.75" customHeight="1" x14ac:dyDescent="0.2">
      <c r="A43" s="6"/>
      <c r="B43" s="6"/>
      <c r="C43" s="6"/>
      <c r="D43" s="8"/>
    </row>
    <row r="44" spans="1:7" ht="15.75" customHeight="1" x14ac:dyDescent="0.2">
      <c r="A44" s="6"/>
      <c r="B44" s="6"/>
      <c r="C44" s="6"/>
      <c r="D44" s="8"/>
    </row>
    <row r="45" spans="1:7" ht="15.75" customHeight="1" x14ac:dyDescent="0.2">
      <c r="A45" s="6"/>
      <c r="B45" s="6"/>
      <c r="C45" s="6"/>
      <c r="D45" s="8"/>
    </row>
    <row r="46" spans="1:7" ht="15.75" customHeight="1" x14ac:dyDescent="0.2">
      <c r="A46" s="6"/>
      <c r="B46" s="6"/>
      <c r="C46" s="6"/>
      <c r="D46" s="8"/>
    </row>
    <row r="47" spans="1:7" ht="15.75" customHeight="1" x14ac:dyDescent="0.2">
      <c r="A47" s="6"/>
      <c r="B47" s="6"/>
      <c r="C47" s="6"/>
      <c r="D47" s="8"/>
    </row>
    <row r="48" spans="1:7" ht="15.75" customHeight="1" x14ac:dyDescent="0.2">
      <c r="B48" s="7"/>
      <c r="C48" s="7"/>
      <c r="D48" s="9"/>
    </row>
    <row r="49" spans="1:18" ht="15" x14ac:dyDescent="0.25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</row>
    <row r="50" spans="1:18" ht="15" x14ac:dyDescent="0.25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</row>
    <row r="51" spans="1:18" x14ac:dyDescent="0.2">
      <c r="A51" s="7"/>
      <c r="B51" s="7"/>
      <c r="C51" s="7"/>
      <c r="D51" s="9"/>
    </row>
    <row r="52" spans="1:18" x14ac:dyDescent="0.2">
      <c r="A52" s="7"/>
      <c r="B52" s="7"/>
      <c r="C52" s="7"/>
      <c r="D52" s="9"/>
    </row>
    <row r="53" spans="1:18" x14ac:dyDescent="0.2">
      <c r="A53" s="7"/>
      <c r="B53" s="7"/>
      <c r="C53" s="7"/>
      <c r="D53" s="9"/>
    </row>
    <row r="54" spans="1:18" ht="9" customHeight="1" x14ac:dyDescent="0.2">
      <c r="A54" s="7"/>
      <c r="B54" s="7"/>
      <c r="C54" s="7"/>
      <c r="D54" s="9"/>
    </row>
    <row r="55" spans="1:18" ht="9" customHeight="1" x14ac:dyDescent="0.2">
      <c r="A55" s="7"/>
      <c r="B55" s="7"/>
      <c r="C55" s="7"/>
      <c r="D55" s="9"/>
    </row>
    <row r="56" spans="1:18" ht="9" customHeight="1" x14ac:dyDescent="0.2">
      <c r="A56" s="7"/>
      <c r="B56" s="7"/>
      <c r="C56" s="7"/>
      <c r="D56" s="9"/>
    </row>
    <row r="57" spans="1:18" x14ac:dyDescent="0.2">
      <c r="A57" s="7"/>
      <c r="B57" s="7"/>
      <c r="C57" s="7"/>
      <c r="D57" s="9"/>
    </row>
    <row r="58" spans="1:18" x14ac:dyDescent="0.2">
      <c r="A58" s="7"/>
      <c r="B58" s="7"/>
      <c r="C58" s="7"/>
      <c r="D58" s="9"/>
    </row>
    <row r="59" spans="1:18" x14ac:dyDescent="0.2">
      <c r="A59" s="7"/>
      <c r="B59" s="7"/>
      <c r="C59" s="7"/>
      <c r="D59" s="9"/>
    </row>
    <row r="60" spans="1:18" x14ac:dyDescent="0.2">
      <c r="A60" s="7"/>
      <c r="B60" s="7"/>
      <c r="C60" s="7"/>
      <c r="D60" s="9"/>
    </row>
    <row r="61" spans="1:18" x14ac:dyDescent="0.2">
      <c r="A61" s="7"/>
      <c r="B61" s="7"/>
      <c r="C61" s="7"/>
      <c r="D61" s="9"/>
    </row>
    <row r="62" spans="1:18" x14ac:dyDescent="0.2">
      <c r="A62" s="7"/>
      <c r="B62" s="7"/>
      <c r="C62" s="7"/>
      <c r="D62" s="9"/>
    </row>
    <row r="63" spans="1:18" x14ac:dyDescent="0.2">
      <c r="A63" s="7"/>
      <c r="B63" s="7"/>
      <c r="C63" s="7"/>
      <c r="D63" s="9"/>
    </row>
  </sheetData>
  <mergeCells count="45">
    <mergeCell ref="A49:R49"/>
    <mergeCell ref="A50:R50"/>
    <mergeCell ref="B18:I18"/>
    <mergeCell ref="J18:M18"/>
    <mergeCell ref="N18:Q18"/>
    <mergeCell ref="A20:H20"/>
    <mergeCell ref="A21:C24"/>
    <mergeCell ref="D21:D24"/>
    <mergeCell ref="E21:E23"/>
    <mergeCell ref="F21:F23"/>
    <mergeCell ref="G21:G23"/>
    <mergeCell ref="E24:F24"/>
    <mergeCell ref="A25:C25"/>
    <mergeCell ref="A26:C26"/>
    <mergeCell ref="A27:C27"/>
    <mergeCell ref="A28:C28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A29:C29"/>
    <mergeCell ref="A30:C30"/>
    <mergeCell ref="A31:C31"/>
    <mergeCell ref="A32:C32"/>
    <mergeCell ref="A33:C3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26-00923 - 26-00937</vt:lpstr>
      <vt:lpstr>26-00938 - 26-00946</vt:lpstr>
      <vt:lpstr>'26-00923 - 26-00937'!Área_de_impresión</vt:lpstr>
      <vt:lpstr>'26-00938 - 26-00946'!Área_de_impresión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MANUEL HIDALGO CAMPOS</dc:creator>
  <cp:lastModifiedBy>Jesús Céspedes Rivera</cp:lastModifiedBy>
  <cp:lastPrinted>2017-02-20T17:20:40Z</cp:lastPrinted>
  <dcterms:created xsi:type="dcterms:W3CDTF">2005-11-21T21:38:59Z</dcterms:created>
  <dcterms:modified xsi:type="dcterms:W3CDTF">2026-09-11T15:59:48Z</dcterms:modified>
</cp:coreProperties>
</file>