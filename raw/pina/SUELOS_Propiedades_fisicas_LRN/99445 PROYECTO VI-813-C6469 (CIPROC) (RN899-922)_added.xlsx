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"/>
    </mc:Choice>
  </mc:AlternateContent>
  <xr:revisionPtr revIDLastSave="0" documentId="13_ncr:1_{803CE3F0-98C4-45C8-BBE2-1FFD6AAB77D4}" xr6:coauthVersionLast="47" xr6:coauthVersionMax="47" xr10:uidLastSave="{00000000-0000-0000-0000-000000000000}"/>
  <bookViews>
    <workbookView xWindow="20370" yWindow="-9000" windowWidth="29040" windowHeight="17640" activeTab="1" xr2:uid="{00000000-000D-0000-FFFF-FFFF00000000}"/>
  </bookViews>
  <sheets>
    <sheet name="26-00899 - 26-00913" sheetId="34" r:id="rId1"/>
    <sheet name="26-00914 - 26-00922" sheetId="39" r:id="rId2"/>
  </sheets>
  <definedNames>
    <definedName name="_xlnm.Print_Area" localSheetId="0">'26-00899 - 26-00913'!$A$1:$R$52</definedName>
    <definedName name="_xlnm.Print_Area" localSheetId="1">'26-00914 - 26-00922'!$A$1:$R$52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39" l="1"/>
  <c r="G26" i="39"/>
  <c r="G27" i="39"/>
  <c r="G29" i="39"/>
  <c r="G30" i="39"/>
  <c r="G31" i="39"/>
  <c r="G32" i="39"/>
  <c r="G33" i="39"/>
  <c r="G25" i="39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<sst xmlns="http://schemas.openxmlformats.org/spreadsheetml/2006/main" count="120" uniqueCount="85">
  <si>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</si>
  <si>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</si>
  <si>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</si>
  <si>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</si>
  <si>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</si>
  <si>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</si>
  <si>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</si>
  <si>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</si>
  <si>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</si>
  <si>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</si>
  <si>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</si>
  <si>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Nº DE MUESTRAS TOTAL:</t>
  </si>
  <si>
    <t>ID USUARIO</t>
  </si>
  <si>
    <t>ID LAB</t>
  </si>
  <si>
    <t>CENTRO DE INVESTIGACIONES AGRONÓMICAS</t>
  </si>
  <si>
    <t>LABORATORIO DE RECURSOS NATURALES</t>
  </si>
  <si>
    <t>(%)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</si>
  <si>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</si>
  <si>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</si>
  <si>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</si>
  <si>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</si>
  <si>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99445</t>
  </si>
  <si>
    <t>PROYECTO VI-813-C6469 (CIPROC)</t>
  </si>
  <si>
    <t>MANUEL CAMACHO</t>
  </si>
  <si>
    <t>CORREO</t>
  </si>
  <si>
    <t>TELÉFONO:</t>
  </si>
  <si>
    <t>2511-3237, 2511-8738, 4141</t>
  </si>
  <si>
    <t>ALAJUELA</t>
  </si>
  <si>
    <t>UPALA</t>
  </si>
  <si>
    <t>PIÑA Y BOSQUE</t>
  </si>
  <si>
    <t>DA_DP (Porosidad),</t>
  </si>
  <si>
    <t xml:space="preserve">20/04/2026 </t>
  </si>
  <si>
    <t xml:space="preserve">11/05/2026 </t>
  </si>
  <si>
    <t>24</t>
  </si>
  <si>
    <t>1/2</t>
  </si>
  <si>
    <t>PIÑA 2 (ALONSO CHACON) R 1</t>
  </si>
  <si>
    <t>RN-26-00899</t>
  </si>
  <si>
    <t>PIÑA 2 (ALONSO CHACON) R 2</t>
  </si>
  <si>
    <t>RN-26-00900</t>
  </si>
  <si>
    <t>PIÑA 2 (ALONSO CHACON) R 3</t>
  </si>
  <si>
    <t>RN-26-00901</t>
  </si>
  <si>
    <t>PIÑA 2 (ALONSO CHACON) R 4</t>
  </si>
  <si>
    <t>RN-26-00902</t>
  </si>
  <si>
    <t>PIÑA 2 (ALONSO CHACON) R 5</t>
  </si>
  <si>
    <t>RN-26-00903</t>
  </si>
  <si>
    <t>PIÑA 2 (ALONSO CHACON) R 6</t>
  </si>
  <si>
    <t>RN-26-00904</t>
  </si>
  <si>
    <t>PIÑA 2 (ALONSO CHACON) R 7</t>
  </si>
  <si>
    <t>RN-26-00905</t>
  </si>
  <si>
    <t>PIÑA 2 (ALONSO CHACON) R 8</t>
  </si>
  <si>
    <t>RN-26-00906</t>
  </si>
  <si>
    <t>PIÑA 3 (MISAEL ROJAS) R 1</t>
  </si>
  <si>
    <t>RN-26-00907</t>
  </si>
  <si>
    <t>PIÑA 3 (MISAEL ROJAS) R 2</t>
  </si>
  <si>
    <t>RN-26-00908</t>
  </si>
  <si>
    <t>PIÑA 3 (MISAEL ROJAS) R 3</t>
  </si>
  <si>
    <t>RN-26-00909</t>
  </si>
  <si>
    <t>PIÑA 3 (MISAEL ROJAS) R 4</t>
  </si>
  <si>
    <t>RN-26-00910</t>
  </si>
  <si>
    <t>PIÑA 3 (MISAEL ROJAS) R 5</t>
  </si>
  <si>
    <t>RN-26-00911</t>
  </si>
  <si>
    <t>PIÑA 3 (MISAEL ROJAS) R 6</t>
  </si>
  <si>
    <t>RN-26-00912</t>
  </si>
  <si>
    <t>PIÑA 3 (MISAEL ROJAS) R 7</t>
  </si>
  <si>
    <t>RN-26-00913</t>
  </si>
  <si>
    <t>2/2</t>
  </si>
  <si>
    <t>PIÑA 3 (MISAEL ROJAS) R 8</t>
  </si>
  <si>
    <t>RN-26-00914</t>
  </si>
  <si>
    <t>PIÑA 4 (SERGIO ROJAS) R 1</t>
  </si>
  <si>
    <t>RN-26-00915</t>
  </si>
  <si>
    <t>PIÑA 4 (SERGIO ROJAS) R 2</t>
  </si>
  <si>
    <t>RN-26-00916</t>
  </si>
  <si>
    <t>PIÑA 4 (SERGIO ROJAS) R 3</t>
  </si>
  <si>
    <t>RN-26-00917</t>
  </si>
  <si>
    <t>PIÑA 4 (SERGIO ROJAS) R 4</t>
  </si>
  <si>
    <t>RN-26-00918</t>
  </si>
  <si>
    <t>PIÑA 4 (SERGIO ROJAS) R 5</t>
  </si>
  <si>
    <t>RN-26-00919</t>
  </si>
  <si>
    <t>PIÑA 4 (SERGIO ROJAS) R 6</t>
  </si>
  <si>
    <t>RN-26-00920</t>
  </si>
  <si>
    <t>PIÑA 4 (SERGIO ROJAS) R 7</t>
  </si>
  <si>
    <t>RN-26-00921</t>
  </si>
  <si>
    <t>PIÑA 4 (SERGIO ROJAS) R 8</t>
  </si>
  <si>
    <t>RN-26-00922</t>
  </si>
  <si>
    <t>manuel.camachoumana@ucr.ac.cr; rebeca.sandovalruiz@ucr.ac.cr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</si>
</sst>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/>
    </xf>
    <xf numFmtId="49" fontId="9" fillId="0" borderId="2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opLeftCell="A2" zoomScaleNormal="100" workbookViewId="0">
      <selection activeCell="A25" sqref="A25:G39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9" t="s">
        <v>14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Q1" s="10" t="e" vm="2">
        <v>#VALUE!</v>
      </c>
    </row>
    <row r="2" spans="1:17" ht="15.75" x14ac:dyDescent="0.25">
      <c r="D2" s="39" t="s">
        <v>15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ht="15.75" x14ac:dyDescent="0.25">
      <c r="B3" s="4"/>
      <c r="C3" s="4"/>
      <c r="D3" s="39" t="s">
        <v>5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7" ht="14.25" customHeight="1" x14ac:dyDescent="0.25">
      <c r="B4" s="4"/>
      <c r="C4" s="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7" ht="1.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"/>
    </row>
    <row r="6" spans="1:17" ht="1.5" customHeight="1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7" ht="1.5" customHeight="1" x14ac:dyDescent="0.2"/>
    <row r="8" spans="1:17" ht="20.100000000000001" customHeight="1" x14ac:dyDescent="0.3">
      <c r="A8" s="5" t="s">
        <v>6</v>
      </c>
      <c r="B8" s="41" t="s">
        <v>21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2.75" customHeight="1" x14ac:dyDescent="0.2">
      <c r="A9" s="2" t="s">
        <v>0</v>
      </c>
      <c r="B9" s="28" t="s">
        <v>22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1</v>
      </c>
      <c r="B11" s="26" t="s">
        <v>23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24</v>
      </c>
      <c r="B12" s="42" t="s">
        <v>84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ht="12.75" customHeight="1" x14ac:dyDescent="0.2">
      <c r="A13" s="12" t="s">
        <v>25</v>
      </c>
      <c r="B13" s="26" t="s">
        <v>26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7</v>
      </c>
      <c r="K14" s="27"/>
      <c r="L14" s="27"/>
      <c r="M14" s="27"/>
      <c r="N14" s="28" t="s">
        <v>30</v>
      </c>
      <c r="O14" s="28"/>
      <c r="P14" s="28"/>
      <c r="Q14" s="28"/>
    </row>
    <row r="15" spans="1:17" ht="12.75" customHeight="1" x14ac:dyDescent="0.2">
      <c r="A15" s="2" t="s">
        <v>2</v>
      </c>
      <c r="B15" s="26" t="s">
        <v>27</v>
      </c>
      <c r="C15" s="26"/>
      <c r="D15" s="26"/>
      <c r="E15" s="26"/>
      <c r="F15" s="26"/>
      <c r="G15" s="26"/>
      <c r="H15" s="26"/>
      <c r="I15" s="26"/>
      <c r="J15" s="27" t="s">
        <v>10</v>
      </c>
      <c r="K15" s="27"/>
      <c r="L15" s="27"/>
      <c r="M15" s="27"/>
      <c r="N15" s="28" t="s">
        <v>31</v>
      </c>
      <c r="O15" s="28"/>
      <c r="P15" s="28"/>
      <c r="Q15" s="28"/>
    </row>
    <row r="16" spans="1:17" ht="12.75" customHeight="1" x14ac:dyDescent="0.2">
      <c r="A16" s="2" t="s">
        <v>3</v>
      </c>
      <c r="B16" s="26" t="s">
        <v>28</v>
      </c>
      <c r="C16" s="26"/>
      <c r="D16" s="26"/>
      <c r="E16" s="26"/>
      <c r="F16" s="26"/>
      <c r="G16" s="26"/>
      <c r="H16" s="26"/>
      <c r="I16" s="26"/>
      <c r="J16" s="27" t="s">
        <v>8</v>
      </c>
      <c r="K16" s="27"/>
      <c r="L16" s="27"/>
      <c r="M16" s="27"/>
      <c r="N16" s="28" t="s">
        <v>32</v>
      </c>
      <c r="O16" s="28"/>
      <c r="P16" s="28"/>
      <c r="Q16" s="28"/>
    </row>
    <row r="17" spans="1:17" ht="12.75" customHeight="1" x14ac:dyDescent="0.2">
      <c r="A17" s="2"/>
      <c r="B17" s="37"/>
      <c r="C17" s="37"/>
      <c r="D17" s="37"/>
      <c r="E17" s="37"/>
      <c r="F17" s="37"/>
      <c r="G17" s="37"/>
      <c r="H17" s="37"/>
      <c r="I17" s="37"/>
      <c r="J17" s="38" t="s">
        <v>11</v>
      </c>
      <c r="K17" s="38"/>
      <c r="L17" s="38"/>
      <c r="M17" s="38"/>
      <c r="N17" s="28" t="s">
        <v>33</v>
      </c>
      <c r="O17" s="28"/>
      <c r="P17" s="28"/>
      <c r="Q17" s="28"/>
    </row>
    <row r="18" spans="1:17" ht="12.75" customHeight="1" x14ac:dyDescent="0.2">
      <c r="A18" s="2" t="s">
        <v>4</v>
      </c>
      <c r="B18" s="26" t="s">
        <v>29</v>
      </c>
      <c r="C18" s="26"/>
      <c r="D18" s="26"/>
      <c r="E18" s="26"/>
      <c r="F18" s="26"/>
      <c r="G18" s="26"/>
      <c r="H18" s="26"/>
      <c r="I18" s="26"/>
      <c r="J18" s="27" t="s">
        <v>9</v>
      </c>
      <c r="K18" s="27"/>
      <c r="L18" s="27"/>
      <c r="M18" s="27"/>
      <c r="N18" s="28" t="s">
        <v>34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17" ht="15.75" customHeight="1" x14ac:dyDescent="0.2">
      <c r="A21" s="32" t="s">
        <v>12</v>
      </c>
      <c r="B21" s="32"/>
      <c r="C21" s="32"/>
      <c r="D21" s="32" t="s">
        <v>13</v>
      </c>
      <c r="E21" s="30" t="s">
        <v>17</v>
      </c>
      <c r="F21" s="30" t="s">
        <v>18</v>
      </c>
      <c r="G21" s="30" t="s">
        <v>19</v>
      </c>
    </row>
    <row r="22" spans="1:17" ht="15" customHeight="1" x14ac:dyDescent="0.2">
      <c r="A22" s="32"/>
      <c r="B22" s="32"/>
      <c r="C22" s="32"/>
      <c r="D22" s="32"/>
      <c r="E22" s="30"/>
      <c r="F22" s="30"/>
      <c r="G22" s="30"/>
    </row>
    <row r="23" spans="1:17" ht="15.75" customHeight="1" x14ac:dyDescent="0.2">
      <c r="A23" s="32"/>
      <c r="B23" s="32"/>
      <c r="C23" s="32"/>
      <c r="D23" s="32"/>
      <c r="E23" s="30"/>
      <c r="F23" s="30"/>
      <c r="G23" s="30"/>
    </row>
    <row r="24" spans="1:17" ht="15.75" customHeight="1" x14ac:dyDescent="0.2">
      <c r="A24" s="32"/>
      <c r="B24" s="32"/>
      <c r="C24" s="32"/>
      <c r="D24" s="32"/>
      <c r="E24" s="31" t="s">
        <v>20</v>
      </c>
      <c r="F24" s="31"/>
      <c r="G24" s="11" t="s">
        <v>16</v>
      </c>
    </row>
    <row r="25" spans="1:17" ht="15.95" customHeight="1" x14ac:dyDescent="0.2">
      <c r="A25" s="33" t="s">
        <v>35</v>
      </c>
      <c r="B25" s="34"/>
      <c r="C25" s="34"/>
      <c r="D25" s="13" t="s">
        <v>36</v>
      </c>
      <c r="E25" s="15">
        <v>0.97</v>
      </c>
      <c r="F25" s="22">
        <v>2.4700000000000002</v>
      </c>
      <c r="G25" s="16">
        <f>+(1-(E25/F25))*100</f>
        <v>60.728744939271259</v>
      </c>
    </row>
    <row r="26" spans="1:17" ht="15.95" customHeight="1" x14ac:dyDescent="0.2">
      <c r="A26" s="35" t="s">
        <v>37</v>
      </c>
      <c r="B26" s="36"/>
      <c r="C26" s="36"/>
      <c r="D26" s="14" t="s">
        <v>38</v>
      </c>
      <c r="E26" s="17">
        <v>0.96</v>
      </c>
      <c r="F26" s="23">
        <v>2.5099999999999998</v>
      </c>
      <c r="G26" s="18">
        <f t="shared" ref="G26:G39" si="0">+(1-(E26/F26))*100</f>
        <v>61.752988047808763</v>
      </c>
    </row>
    <row r="27" spans="1:17" ht="15.95" customHeight="1" x14ac:dyDescent="0.2">
      <c r="A27" s="35" t="s">
        <v>39</v>
      </c>
      <c r="B27" s="36"/>
      <c r="C27" s="36"/>
      <c r="D27" s="14" t="s">
        <v>40</v>
      </c>
      <c r="E27" s="17">
        <v>0.95</v>
      </c>
      <c r="F27" s="23">
        <v>2.5299999999999998</v>
      </c>
      <c r="G27" s="18">
        <f t="shared" si="0"/>
        <v>62.450592885375485</v>
      </c>
    </row>
    <row r="28" spans="1:17" ht="15.95" customHeight="1" x14ac:dyDescent="0.2">
      <c r="A28" s="35" t="s">
        <v>41</v>
      </c>
      <c r="B28" s="36"/>
      <c r="C28" s="36"/>
      <c r="D28" s="14" t="s">
        <v>42</v>
      </c>
      <c r="E28" s="17">
        <v>0.96</v>
      </c>
      <c r="F28" s="23">
        <v>2.48</v>
      </c>
      <c r="G28" s="18">
        <f t="shared" si="0"/>
        <v>61.29032258064516</v>
      </c>
    </row>
    <row r="29" spans="1:17" ht="15.95" customHeight="1" x14ac:dyDescent="0.2">
      <c r="A29" s="35" t="s">
        <v>43</v>
      </c>
      <c r="B29" s="36"/>
      <c r="C29" s="36"/>
      <c r="D29" s="14" t="s">
        <v>44</v>
      </c>
      <c r="E29" s="17">
        <v>0.95</v>
      </c>
      <c r="F29" s="23">
        <v>2.5099999999999998</v>
      </c>
      <c r="G29" s="18">
        <f t="shared" si="0"/>
        <v>62.151394422310759</v>
      </c>
    </row>
    <row r="30" spans="1:17" ht="15.95" customHeight="1" x14ac:dyDescent="0.2">
      <c r="A30" s="35" t="s">
        <v>45</v>
      </c>
      <c r="B30" s="36"/>
      <c r="C30" s="36"/>
      <c r="D30" s="14" t="s">
        <v>46</v>
      </c>
      <c r="E30" s="17">
        <v>0.94</v>
      </c>
      <c r="F30" s="23">
        <v>2.4900000000000002</v>
      </c>
      <c r="G30" s="18">
        <f t="shared" si="0"/>
        <v>62.24899598393575</v>
      </c>
    </row>
    <row r="31" spans="1:17" ht="15.95" customHeight="1" x14ac:dyDescent="0.2">
      <c r="A31" s="35" t="s">
        <v>47</v>
      </c>
      <c r="B31" s="36"/>
      <c r="C31" s="36"/>
      <c r="D31" s="14" t="s">
        <v>48</v>
      </c>
      <c r="E31" s="17">
        <v>0.87</v>
      </c>
      <c r="F31" s="23">
        <v>2.5299999999999998</v>
      </c>
      <c r="G31" s="18">
        <f t="shared" si="0"/>
        <v>65.612648221343875</v>
      </c>
    </row>
    <row r="32" spans="1:17" ht="15.95" customHeight="1" x14ac:dyDescent="0.2">
      <c r="A32" s="35" t="s">
        <v>49</v>
      </c>
      <c r="B32" s="36"/>
      <c r="C32" s="36"/>
      <c r="D32" s="14" t="s">
        <v>50</v>
      </c>
      <c r="E32" s="17">
        <v>0.91</v>
      </c>
      <c r="F32" s="23">
        <v>2.54</v>
      </c>
      <c r="G32" s="18">
        <f t="shared" si="0"/>
        <v>64.173228346456696</v>
      </c>
    </row>
    <row r="33" spans="1:7" ht="15.95" customHeight="1" x14ac:dyDescent="0.2">
      <c r="A33" s="35" t="s">
        <v>51</v>
      </c>
      <c r="B33" s="36"/>
      <c r="C33" s="36"/>
      <c r="D33" s="14" t="s">
        <v>52</v>
      </c>
      <c r="E33" s="17">
        <v>0.9</v>
      </c>
      <c r="F33" s="23">
        <v>2.57</v>
      </c>
      <c r="G33" s="18">
        <f t="shared" si="0"/>
        <v>64.980544747081709</v>
      </c>
    </row>
    <row r="34" spans="1:7" ht="15.95" customHeight="1" x14ac:dyDescent="0.2">
      <c r="A34" s="35" t="s">
        <v>53</v>
      </c>
      <c r="B34" s="36"/>
      <c r="C34" s="36"/>
      <c r="D34" s="14" t="s">
        <v>54</v>
      </c>
      <c r="E34" s="17">
        <v>0.88</v>
      </c>
      <c r="F34" s="23">
        <v>2.56</v>
      </c>
      <c r="G34" s="18">
        <f t="shared" si="0"/>
        <v>65.625</v>
      </c>
    </row>
    <row r="35" spans="1:7" ht="15.95" customHeight="1" x14ac:dyDescent="0.2">
      <c r="A35" s="35" t="s">
        <v>55</v>
      </c>
      <c r="B35" s="36"/>
      <c r="C35" s="36"/>
      <c r="D35" s="14" t="s">
        <v>56</v>
      </c>
      <c r="E35" s="17">
        <v>0.9</v>
      </c>
      <c r="F35" s="23">
        <v>2.57</v>
      </c>
      <c r="G35" s="18">
        <f t="shared" si="0"/>
        <v>64.980544747081709</v>
      </c>
    </row>
    <row r="36" spans="1:7" ht="15.95" customHeight="1" x14ac:dyDescent="0.2">
      <c r="A36" s="35" t="s">
        <v>57</v>
      </c>
      <c r="B36" s="36"/>
      <c r="C36" s="36"/>
      <c r="D36" s="14" t="s">
        <v>58</v>
      </c>
      <c r="E36" s="17">
        <v>0.84</v>
      </c>
      <c r="F36" s="23">
        <v>2.54</v>
      </c>
      <c r="G36" s="18">
        <f t="shared" si="0"/>
        <v>66.929133858267718</v>
      </c>
    </row>
    <row r="37" spans="1:7" ht="15.95" customHeight="1" x14ac:dyDescent="0.2">
      <c r="A37" s="35" t="s">
        <v>59</v>
      </c>
      <c r="B37" s="36"/>
      <c r="C37" s="36"/>
      <c r="D37" s="14" t="s">
        <v>60</v>
      </c>
      <c r="E37" s="17">
        <v>0.98</v>
      </c>
      <c r="F37" s="23">
        <v>2.59</v>
      </c>
      <c r="G37" s="18">
        <f t="shared" si="0"/>
        <v>62.162162162162161</v>
      </c>
    </row>
    <row r="38" spans="1:7" ht="15.95" customHeight="1" x14ac:dyDescent="0.2">
      <c r="A38" s="35" t="s">
        <v>61</v>
      </c>
      <c r="B38" s="36"/>
      <c r="C38" s="36"/>
      <c r="D38" s="14" t="s">
        <v>62</v>
      </c>
      <c r="E38" s="17">
        <v>0.92</v>
      </c>
      <c r="F38" s="23">
        <v>2.57</v>
      </c>
      <c r="G38" s="18">
        <f t="shared" si="0"/>
        <v>64.202334630350194</v>
      </c>
    </row>
    <row r="39" spans="1:7" ht="15.95" customHeight="1" x14ac:dyDescent="0.2">
      <c r="A39" s="43" t="s">
        <v>63</v>
      </c>
      <c r="B39" s="44"/>
      <c r="C39" s="44"/>
      <c r="D39" s="19" t="s">
        <v>64</v>
      </c>
      <c r="E39" s="20">
        <v>0.85</v>
      </c>
      <c r="F39" s="24">
        <v>2.58</v>
      </c>
      <c r="G39" s="21">
        <f t="shared" si="0"/>
        <v>67.054263565891475</v>
      </c>
    </row>
    <row r="40" spans="1:7" ht="15.75" customHeight="1" x14ac:dyDescent="0.2">
      <c r="A40" s="6"/>
      <c r="B40" s="6"/>
      <c r="C40" s="6"/>
      <c r="D40" s="8"/>
    </row>
    <row r="41" spans="1:7" ht="15.7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A47" s="6"/>
      <c r="B47" s="6"/>
      <c r="C47" s="6"/>
      <c r="D47" s="8"/>
    </row>
    <row r="48" spans="1:7" ht="15.75" customHeight="1" x14ac:dyDescent="0.2">
      <c r="B48" s="7"/>
      <c r="C48" s="7"/>
      <c r="D48" s="9"/>
    </row>
    <row r="49" spans="1:18" ht="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51">
    <mergeCell ref="A39:C39"/>
    <mergeCell ref="A34:C34"/>
    <mergeCell ref="A35:C35"/>
    <mergeCell ref="A36:C36"/>
    <mergeCell ref="A37:C37"/>
    <mergeCell ref="A38:C38"/>
    <mergeCell ref="A29:C29"/>
    <mergeCell ref="A30:C30"/>
    <mergeCell ref="A31:C31"/>
    <mergeCell ref="A32:C32"/>
    <mergeCell ref="A33:C33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tabSelected="1" zoomScaleNormal="100" workbookViewId="0">
      <selection activeCell="A25" sqref="A25:G3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9" t="s">
        <v>14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Q1" s="10" t="e" vm="2">
        <v>#VALUE!</v>
      </c>
    </row>
    <row r="2" spans="1:17" ht="15.75" x14ac:dyDescent="0.25">
      <c r="D2" s="39" t="s">
        <v>15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ht="15.75" x14ac:dyDescent="0.25">
      <c r="B3" s="4"/>
      <c r="C3" s="4"/>
      <c r="D3" s="39" t="s">
        <v>5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7" ht="14.25" customHeight="1" x14ac:dyDescent="0.25">
      <c r="B4" s="4"/>
      <c r="C4" s="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7" ht="1.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"/>
    </row>
    <row r="6" spans="1:17" ht="1.5" customHeight="1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7" ht="1.5" customHeight="1" x14ac:dyDescent="0.2"/>
    <row r="8" spans="1:17" ht="20.100000000000001" customHeight="1" x14ac:dyDescent="0.3">
      <c r="A8" s="5" t="s">
        <v>6</v>
      </c>
      <c r="B8" s="41" t="s">
        <v>21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2.75" customHeight="1" x14ac:dyDescent="0.2">
      <c r="A9" s="2" t="s">
        <v>0</v>
      </c>
      <c r="B9" s="28" t="s">
        <v>22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1</v>
      </c>
      <c r="B11" s="26" t="s">
        <v>23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24</v>
      </c>
      <c r="B12" s="42" t="s">
        <v>84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ht="12.75" customHeight="1" x14ac:dyDescent="0.2">
      <c r="A13" s="12" t="s">
        <v>25</v>
      </c>
      <c r="B13" s="26" t="s">
        <v>26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7</v>
      </c>
      <c r="K14" s="27"/>
      <c r="L14" s="27"/>
      <c r="M14" s="27"/>
      <c r="N14" s="28" t="s">
        <v>30</v>
      </c>
      <c r="O14" s="28"/>
      <c r="P14" s="28"/>
      <c r="Q14" s="28"/>
    </row>
    <row r="15" spans="1:17" ht="12.75" customHeight="1" x14ac:dyDescent="0.2">
      <c r="A15" s="2" t="s">
        <v>2</v>
      </c>
      <c r="B15" s="26" t="s">
        <v>27</v>
      </c>
      <c r="C15" s="26"/>
      <c r="D15" s="26"/>
      <c r="E15" s="26"/>
      <c r="F15" s="26"/>
      <c r="G15" s="26"/>
      <c r="H15" s="26"/>
      <c r="I15" s="26"/>
      <c r="J15" s="27" t="s">
        <v>10</v>
      </c>
      <c r="K15" s="27"/>
      <c r="L15" s="27"/>
      <c r="M15" s="27"/>
      <c r="N15" s="28" t="s">
        <v>31</v>
      </c>
      <c r="O15" s="28"/>
      <c r="P15" s="28"/>
      <c r="Q15" s="28"/>
    </row>
    <row r="16" spans="1:17" ht="12.75" customHeight="1" x14ac:dyDescent="0.2">
      <c r="A16" s="2" t="s">
        <v>3</v>
      </c>
      <c r="B16" s="26" t="s">
        <v>28</v>
      </c>
      <c r="C16" s="26"/>
      <c r="D16" s="26"/>
      <c r="E16" s="26"/>
      <c r="F16" s="26"/>
      <c r="G16" s="26"/>
      <c r="H16" s="26"/>
      <c r="I16" s="26"/>
      <c r="J16" s="27" t="s">
        <v>8</v>
      </c>
      <c r="K16" s="27"/>
      <c r="L16" s="27"/>
      <c r="M16" s="27"/>
      <c r="N16" s="28" t="s">
        <v>32</v>
      </c>
      <c r="O16" s="28"/>
      <c r="P16" s="28"/>
      <c r="Q16" s="28"/>
    </row>
    <row r="17" spans="1:17" ht="12.75" customHeight="1" x14ac:dyDescent="0.2">
      <c r="A17" s="2"/>
      <c r="B17" s="37"/>
      <c r="C17" s="37"/>
      <c r="D17" s="37"/>
      <c r="E17" s="37"/>
      <c r="F17" s="37"/>
      <c r="G17" s="37"/>
      <c r="H17" s="37"/>
      <c r="I17" s="37"/>
      <c r="J17" s="38" t="s">
        <v>11</v>
      </c>
      <c r="K17" s="38"/>
      <c r="L17" s="38"/>
      <c r="M17" s="38"/>
      <c r="N17" s="28" t="s">
        <v>33</v>
      </c>
      <c r="O17" s="28"/>
      <c r="P17" s="28"/>
      <c r="Q17" s="28"/>
    </row>
    <row r="18" spans="1:17" ht="12.75" customHeight="1" x14ac:dyDescent="0.2">
      <c r="A18" s="2" t="s">
        <v>4</v>
      </c>
      <c r="B18" s="26" t="s">
        <v>29</v>
      </c>
      <c r="C18" s="26"/>
      <c r="D18" s="26"/>
      <c r="E18" s="26"/>
      <c r="F18" s="26"/>
      <c r="G18" s="26"/>
      <c r="H18" s="26"/>
      <c r="I18" s="26"/>
      <c r="J18" s="27" t="s">
        <v>9</v>
      </c>
      <c r="K18" s="27"/>
      <c r="L18" s="27"/>
      <c r="M18" s="27"/>
      <c r="N18" s="28" t="s">
        <v>65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17" ht="15.75" customHeight="1" x14ac:dyDescent="0.2">
      <c r="A21" s="32" t="s">
        <v>12</v>
      </c>
      <c r="B21" s="32"/>
      <c r="C21" s="32"/>
      <c r="D21" s="32" t="s">
        <v>13</v>
      </c>
      <c r="E21" s="30" t="s">
        <v>17</v>
      </c>
      <c r="F21" s="30" t="s">
        <v>18</v>
      </c>
      <c r="G21" s="30" t="s">
        <v>19</v>
      </c>
    </row>
    <row r="22" spans="1:17" ht="15" customHeight="1" x14ac:dyDescent="0.2">
      <c r="A22" s="32"/>
      <c r="B22" s="32"/>
      <c r="C22" s="32"/>
      <c r="D22" s="32"/>
      <c r="E22" s="30"/>
      <c r="F22" s="30"/>
      <c r="G22" s="30"/>
    </row>
    <row r="23" spans="1:17" ht="15.75" customHeight="1" x14ac:dyDescent="0.2">
      <c r="A23" s="32"/>
      <c r="B23" s="32"/>
      <c r="C23" s="32"/>
      <c r="D23" s="32"/>
      <c r="E23" s="30"/>
      <c r="F23" s="30"/>
      <c r="G23" s="30"/>
    </row>
    <row r="24" spans="1:17" ht="15.75" customHeight="1" x14ac:dyDescent="0.2">
      <c r="A24" s="32"/>
      <c r="B24" s="32"/>
      <c r="C24" s="32"/>
      <c r="D24" s="32"/>
      <c r="E24" s="31" t="s">
        <v>20</v>
      </c>
      <c r="F24" s="31"/>
      <c r="G24" s="11" t="s">
        <v>16</v>
      </c>
    </row>
    <row r="25" spans="1:17" ht="15.95" customHeight="1" x14ac:dyDescent="0.2">
      <c r="A25" s="33" t="s">
        <v>66</v>
      </c>
      <c r="B25" s="34"/>
      <c r="C25" s="34"/>
      <c r="D25" s="13" t="s">
        <v>67</v>
      </c>
      <c r="E25" s="15">
        <v>0.86</v>
      </c>
      <c r="F25" s="22">
        <v>2.5499999999999998</v>
      </c>
      <c r="G25" s="16">
        <f>+(1-(E25/F25))*100</f>
        <v>66.274509803921561</v>
      </c>
    </row>
    <row r="26" spans="1:17" ht="15.95" customHeight="1" x14ac:dyDescent="0.2">
      <c r="A26" s="35" t="s">
        <v>68</v>
      </c>
      <c r="B26" s="36"/>
      <c r="C26" s="36"/>
      <c r="D26" s="14" t="s">
        <v>69</v>
      </c>
      <c r="E26" s="17">
        <v>0.83</v>
      </c>
      <c r="F26" s="23">
        <v>2.6</v>
      </c>
      <c r="G26" s="18">
        <f t="shared" ref="G26:G33" si="0">+(1-(E26/F26))*100</f>
        <v>68.07692307692308</v>
      </c>
    </row>
    <row r="27" spans="1:17" ht="15.95" customHeight="1" x14ac:dyDescent="0.2">
      <c r="A27" s="35" t="s">
        <v>70</v>
      </c>
      <c r="B27" s="36"/>
      <c r="C27" s="36"/>
      <c r="D27" s="14" t="s">
        <v>71</v>
      </c>
      <c r="E27" s="17">
        <v>0.91</v>
      </c>
      <c r="F27" s="23">
        <v>2.4900000000000002</v>
      </c>
      <c r="G27" s="18">
        <f t="shared" si="0"/>
        <v>63.453815261044177</v>
      </c>
    </row>
    <row r="28" spans="1:17" ht="15.95" customHeight="1" x14ac:dyDescent="0.2">
      <c r="A28" s="35" t="s">
        <v>72</v>
      </c>
      <c r="B28" s="36"/>
      <c r="C28" s="36"/>
      <c r="D28" s="14" t="s">
        <v>73</v>
      </c>
      <c r="E28" s="17">
        <v>1</v>
      </c>
      <c r="F28" s="23">
        <v>2.4500000000000002</v>
      </c>
      <c r="G28" s="18">
        <f t="shared" si="0"/>
        <v>59.183673469387756</v>
      </c>
    </row>
    <row r="29" spans="1:17" ht="15.95" customHeight="1" x14ac:dyDescent="0.2">
      <c r="A29" s="35" t="s">
        <v>74</v>
      </c>
      <c r="B29" s="36"/>
      <c r="C29" s="36"/>
      <c r="D29" s="14" t="s">
        <v>75</v>
      </c>
      <c r="E29" s="17">
        <v>1</v>
      </c>
      <c r="F29" s="23">
        <v>2.4700000000000002</v>
      </c>
      <c r="G29" s="18">
        <f t="shared" si="0"/>
        <v>59.514170040485823</v>
      </c>
    </row>
    <row r="30" spans="1:17" ht="15.95" customHeight="1" x14ac:dyDescent="0.2">
      <c r="A30" s="35" t="s">
        <v>76</v>
      </c>
      <c r="B30" s="36"/>
      <c r="C30" s="36"/>
      <c r="D30" s="14" t="s">
        <v>77</v>
      </c>
      <c r="E30" s="17">
        <v>0.86</v>
      </c>
      <c r="F30" s="23">
        <v>2.4900000000000002</v>
      </c>
      <c r="G30" s="18">
        <f t="shared" si="0"/>
        <v>65.46184738955823</v>
      </c>
    </row>
    <row r="31" spans="1:17" ht="15.95" customHeight="1" x14ac:dyDescent="0.2">
      <c r="A31" s="35" t="s">
        <v>78</v>
      </c>
      <c r="B31" s="36"/>
      <c r="C31" s="36"/>
      <c r="D31" s="14" t="s">
        <v>79</v>
      </c>
      <c r="E31" s="17">
        <v>0.9</v>
      </c>
      <c r="F31" s="23">
        <v>2.4700000000000002</v>
      </c>
      <c r="G31" s="18">
        <f t="shared" si="0"/>
        <v>63.56275303643725</v>
      </c>
    </row>
    <row r="32" spans="1:17" ht="15.95" customHeight="1" x14ac:dyDescent="0.2">
      <c r="A32" s="35" t="s">
        <v>80</v>
      </c>
      <c r="B32" s="36"/>
      <c r="C32" s="36"/>
      <c r="D32" s="14" t="s">
        <v>81</v>
      </c>
      <c r="E32" s="17">
        <v>0.95</v>
      </c>
      <c r="F32" s="23">
        <v>2.4900000000000002</v>
      </c>
      <c r="G32" s="18">
        <f t="shared" si="0"/>
        <v>61.847389558232933</v>
      </c>
    </row>
    <row r="33" spans="1:7" ht="15.95" customHeight="1" x14ac:dyDescent="0.2">
      <c r="A33" s="43" t="s">
        <v>82</v>
      </c>
      <c r="B33" s="44"/>
      <c r="C33" s="44"/>
      <c r="D33" s="19" t="s">
        <v>83</v>
      </c>
      <c r="E33" s="20">
        <v>0.96</v>
      </c>
      <c r="F33" s="24">
        <v>2.4700000000000002</v>
      </c>
      <c r="G33" s="21">
        <f t="shared" si="0"/>
        <v>61.133603238866407</v>
      </c>
    </row>
    <row r="34" spans="1:7" ht="15.75" customHeight="1" x14ac:dyDescent="0.2">
      <c r="A34" s="6"/>
      <c r="B34" s="6"/>
      <c r="C34" s="6"/>
      <c r="D34" s="8"/>
    </row>
    <row r="35" spans="1:7" ht="15.7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95" customHeight="1" x14ac:dyDescent="0.2">
      <c r="A40" s="6"/>
      <c r="B40" s="6"/>
      <c r="C40" s="6"/>
      <c r="D40" s="8"/>
    </row>
    <row r="41" spans="1:7" ht="15.9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A47" s="6"/>
      <c r="B47" s="6"/>
      <c r="C47" s="6"/>
      <c r="D47" s="8"/>
    </row>
    <row r="48" spans="1:7" ht="15.75" customHeight="1" x14ac:dyDescent="0.2">
      <c r="B48" s="7"/>
      <c r="C48" s="7"/>
      <c r="D48" s="9"/>
    </row>
    <row r="49" spans="1:18" ht="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45">
    <mergeCell ref="A29:C29"/>
    <mergeCell ref="A30:C30"/>
    <mergeCell ref="A31:C31"/>
    <mergeCell ref="A32:C32"/>
    <mergeCell ref="A33:C33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26-00899 - 26-00913</vt:lpstr>
      <vt:lpstr>26-00914 - 26-00922</vt:lpstr>
      <vt:lpstr>'26-00899 - 26-00913'!Área_de_impresión</vt:lpstr>
      <vt:lpstr>'26-00914 - 26-00922'!Área_de_impresión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HIDALGO CAMPOS</dc:creator>
  <cp:lastModifiedBy>Jesús Céspedes Rivera</cp:lastModifiedBy>
  <cp:lastPrinted>2017-02-20T17:20:40Z</cp:lastPrinted>
  <dcterms:created xsi:type="dcterms:W3CDTF">2005-11-21T21:38:59Z</dcterms:created>
  <dcterms:modified xsi:type="dcterms:W3CDTF">2026-09-11T15:56:06Z</dcterms:modified>
</cp:coreProperties>
</file>