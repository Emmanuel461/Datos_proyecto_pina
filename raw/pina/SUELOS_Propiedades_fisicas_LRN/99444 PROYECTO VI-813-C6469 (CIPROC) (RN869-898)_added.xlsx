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raw/pina/SUELOS_Propiedades_fisicas_LRN/"/>
    </mc:Choice>
  </mc:AlternateContent>
  <xr:revisionPtr revIDLastSave="0" documentId="13_ncr:1_{AD276FB9-852D-469B-BD18-62EFFED62222}" xr6:coauthVersionLast="47" xr6:coauthVersionMax="47" xr10:uidLastSave="{00000000-0000-0000-0000-000000000000}"/>
  <bookViews>
    <workbookView xWindow="20370" yWindow="-9000" windowWidth="29040" windowHeight="17640" xr2:uid="{00000000-000D-0000-FFFF-FFFF00000000}"/>
  </bookViews>
  <sheets>
    <sheet name="26-00869 - 26-00883" sheetId="34" r:id="rId1"/>
    <sheet name="26-00884 - 26-00898" sheetId="37" r:id="rId2"/>
  </sheets>
  <definedNames>
    <definedName name="_xlnm.Print_Area" localSheetId="0">'26-00869 - 26-00883'!$A$1:$R$55</definedName>
    <definedName name="_xlnm.Print_Area" localSheetId="1">'26-00884 - 26-00898'!$A$1:$R$55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37" l="1"/>
  <c r="K26" i="37"/>
  <c r="K27" i="37"/>
  <c r="K28" i="37"/>
  <c r="K29" i="37"/>
  <c r="K30" i="37"/>
  <c r="K31" i="37"/>
  <c r="K32" i="37"/>
  <c r="K33" i="37"/>
  <c r="K34" i="37"/>
  <c r="K35" i="37"/>
  <c r="K36" i="37"/>
  <c r="K37" i="37"/>
  <c r="K38" i="37"/>
  <c r="K24" i="37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24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<sst xmlns="http://schemas.openxmlformats.org/spreadsheetml/2006/main" count="178" uniqueCount="104">
  <si>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</si>
  <si>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</si>
  <si>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</si>
  <si>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</si>
  <si>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</si>
  <si>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</si>
  <si>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</si>
  <si>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</si>
  <si>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</si>
  <si>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</si>
  <si>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</si>
  <si>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Nº DE MUESTRAS TOTAL:</t>
  </si>
  <si>
    <t>ID USUARIO</t>
  </si>
  <si>
    <t>ID LAB</t>
  </si>
  <si>
    <t>CENTRO DE INVESTIGACIONES AGRONÓMICAS</t>
  </si>
  <si>
    <t>LABORATORIO DE RECURSOS NATURALES</t>
  </si>
  <si>
    <t>ARENA</t>
  </si>
  <si>
    <t>LIMO</t>
  </si>
  <si>
    <t>ARCILLA</t>
  </si>
  <si>
    <t>Clase textural</t>
  </si>
  <si>
    <t xml:space="preserve"> Retención de humedad </t>
  </si>
  <si>
    <t>Humedad gravimétrica (%)</t>
  </si>
  <si>
    <t>Agua útil</t>
  </si>
  <si>
    <t>(%)</t>
  </si>
  <si>
    <t>(0,33 bar)</t>
  </si>
  <si>
    <t>(15 bar)</t>
  </si>
  <si>
    <t>99444</t>
  </si>
  <si>
    <t>PROYECTO VI-813-C6469 (CIPROC)</t>
  </si>
  <si>
    <t>MANUEL CAMACHO</t>
  </si>
  <si>
    <t>CORREO</t>
  </si>
  <si>
    <t>TELÉFONO:</t>
  </si>
  <si>
    <t>2511-3237, 2511-8738, 4141</t>
  </si>
  <si>
    <t>ALAJUELA</t>
  </si>
  <si>
    <t>UPALA</t>
  </si>
  <si>
    <t>PIÑA Y BOSQUE</t>
  </si>
  <si>
    <t>Ret H (2 pts), Est_Agr.,TEXT,</t>
  </si>
  <si>
    <t xml:space="preserve">20/04/2026 </t>
  </si>
  <si>
    <t xml:space="preserve">14/05/2026 </t>
  </si>
  <si>
    <t>30</t>
  </si>
  <si>
    <t>1/2</t>
  </si>
  <si>
    <t>PIÑA 2 (ALONSO CHACON) R1</t>
  </si>
  <si>
    <t>RN-26-00869</t>
  </si>
  <si>
    <t>PIÑA 2 (ALONSO CHACON) R2</t>
  </si>
  <si>
    <t>RN-26-00870</t>
  </si>
  <si>
    <t>PIÑA 2 (ALONSO CHACON) R3</t>
  </si>
  <si>
    <t>RN-26-00871</t>
  </si>
  <si>
    <t>PIÑA 3 (MISAEL ROJAS) R1</t>
  </si>
  <si>
    <t>RN-26-00872</t>
  </si>
  <si>
    <t>PIÑA 3 (MISAEL ROJAS) R2</t>
  </si>
  <si>
    <t>RN-26-00873</t>
  </si>
  <si>
    <t>PIÑA 3 (MISAEL ROJAS) R3</t>
  </si>
  <si>
    <t>RN-26-00874</t>
  </si>
  <si>
    <t>PIÑA 4 (SERGIO ROJAS) R1</t>
  </si>
  <si>
    <t>RN-26-00875</t>
  </si>
  <si>
    <t>PIÑA 4 (SERGIO ROJAS) R2</t>
  </si>
  <si>
    <t>RN-26-00876</t>
  </si>
  <si>
    <t>PIÑA 4 (SERGIO ROJAS) R3</t>
  </si>
  <si>
    <t>RN-26-00877</t>
  </si>
  <si>
    <t>PIÑA 5 (SERGIO ROJAS) R1</t>
  </si>
  <si>
    <t>RN-26-00878</t>
  </si>
  <si>
    <t>PIÑA 5 (SERGIO ROJAS) R2</t>
  </si>
  <si>
    <t>RN-26-00879</t>
  </si>
  <si>
    <t>PIÑA 5 (SERGIO ROJAS) R3</t>
  </si>
  <si>
    <t>RN-26-00880</t>
  </si>
  <si>
    <t>PIÑA 6 (MARVIN ZAMORA) R1</t>
  </si>
  <si>
    <t>RN-26-00881</t>
  </si>
  <si>
    <t>PIÑA 6 (MARVIN ZAMORA) R2</t>
  </si>
  <si>
    <t>RN-26-00882</t>
  </si>
  <si>
    <t>PIÑA 6 (MARVIN ZAMORA) R3</t>
  </si>
  <si>
    <t>RN-26-00883</t>
  </si>
  <si>
    <t>2/2</t>
  </si>
  <si>
    <t>PIÑA 7 (ADRIAN RODRIGRUEZ) R1</t>
  </si>
  <si>
    <t>RN-26-00884</t>
  </si>
  <si>
    <t>PIÑA 7 (ADRIAN RODRIGRUEZ) R2</t>
  </si>
  <si>
    <t>RN-26-00885</t>
  </si>
  <si>
    <t>PIÑA 7 (ADRIAN RODRIGRUEZ) R3</t>
  </si>
  <si>
    <t>RN-26-00886</t>
  </si>
  <si>
    <t>PIÑA 8 (SENEN MURILLO) R1</t>
  </si>
  <si>
    <t>RN-26-00887</t>
  </si>
  <si>
    <t>PIÑA 8 (SENEN MURILLO) R2</t>
  </si>
  <si>
    <t>RN-26-00888</t>
  </si>
  <si>
    <t>PIÑA 8 (SENEN MURILLO) R3</t>
  </si>
  <si>
    <t>RN-26-00889</t>
  </si>
  <si>
    <t>BOSQUE 2 (MISAEL ROJAS) R1</t>
  </si>
  <si>
    <t>RN-26-00890</t>
  </si>
  <si>
    <t>BOSQUE 2 (MISAEL ROJAS) R2</t>
  </si>
  <si>
    <t>RN-26-00891</t>
  </si>
  <si>
    <t>BOSQUE 2 (MISAEL ROJAS) R3</t>
  </si>
  <si>
    <t>RN-26-00892</t>
  </si>
  <si>
    <t>BOSQUE 3 (SERGIO ROJAS) R1</t>
  </si>
  <si>
    <t>RN-26-00893</t>
  </si>
  <si>
    <t>BOSQUE 3 (SERGIO ROJAS) R2</t>
  </si>
  <si>
    <t>RN-26-00894</t>
  </si>
  <si>
    <t>BOSQUE 3 (SERGIO ROJAS) R3</t>
  </si>
  <si>
    <t>RN-26-00895</t>
  </si>
  <si>
    <t>BOSQUE 4 (SERGIO ROJAS) R1</t>
  </si>
  <si>
    <t>RN-26-00896</t>
  </si>
  <si>
    <t>BOSQUE 4 (SERGIO ROJAS) R2</t>
  </si>
  <si>
    <t>RN-26-00897</t>
  </si>
  <si>
    <t>BOSQUE 4 (SERGIO ROJAS) R3</t>
  </si>
  <si>
    <t>RN-26-00898</t>
  </si>
  <si>
    <t xml:space="preserve">Estabilidad de agregados </t>
  </si>
  <si>
    <t>Arcilloso</t>
  </si>
  <si>
    <t>manuel.camachoumana@ucr.ac.cr; rebeca.sandovalruiz@ucr.ac.cr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</si>
</sst>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95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10" fillId="0" borderId="0" xfId="0" applyNumberFormat="1" applyFont="1" applyAlignment="1"/>
    <xf numFmtId="49" fontId="2" fillId="0" borderId="0" xfId="0" applyNumberFormat="1" applyFont="1" applyAlignment="1"/>
    <xf numFmtId="49" fontId="10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10" fillId="0" borderId="3" xfId="0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center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0" fillId="0" borderId="8" xfId="0" applyNumberFormat="1" applyFont="1" applyBorder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0" borderId="9" xfId="0" applyNumberFormat="1" applyFont="1" applyBorder="1" applyAlignment="1">
      <alignment horizontal="left"/>
    </xf>
    <xf numFmtId="49" fontId="10" fillId="0" borderId="10" xfId="0" applyNumberFormat="1" applyFont="1" applyBorder="1" applyAlignment="1">
      <alignment horizontal="left"/>
    </xf>
    <xf numFmtId="49" fontId="10" fillId="0" borderId="11" xfId="0" applyNumberFormat="1" applyFont="1" applyBorder="1" applyAlignment="1">
      <alignment horizontal="left"/>
    </xf>
    <xf numFmtId="49" fontId="10" fillId="0" borderId="12" xfId="0" applyNumberFormat="1" applyFont="1" applyBorder="1" applyAlignment="1">
      <alignment horizontal="left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525" y="9229725"/>
          <a:ext cx="155067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2" name="14 Grupo">
          <a:extLst>
            <a:ext uri="{FF2B5EF4-FFF2-40B4-BE49-F238E27FC236}">
              <a16:creationId xmlns:a16="http://schemas.microsoft.com/office/drawing/2014/main" id="{12D6BCA5-AF48-476C-BB7D-F937ACC361E2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3" name="13 CuadroTexto">
            <a:extLst>
              <a:ext uri="{FF2B5EF4-FFF2-40B4-BE49-F238E27FC236}">
                <a16:creationId xmlns:a16="http://schemas.microsoft.com/office/drawing/2014/main" id="{291AED7F-1738-9704-B1E9-2B4009F383C4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F1E85745-DBFF-5124-1D02-F5555C99196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B2461DF4-DDF0-F782-7C3F-09FF8C88D42E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C1E565D6-1399-EFF9-A355-3959B2556A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EAF3491-E8D2-0714-6C9D-4622FBD0A977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E7CE12B5-AA62-3141-417B-150075840EC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90B5CBFB-BDFF-45E5-8B17-06439CA47281}"/>
            </a:ext>
          </a:extLst>
        </xdr:cNvPr>
        <xdr:cNvSpPr txBox="1"/>
      </xdr:nvSpPr>
      <xdr:spPr>
        <a:xfrm>
          <a:off x="9525" y="10629900"/>
          <a:ext cx="16316325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6"/>
  <sheetViews>
    <sheetView tabSelected="1" topLeftCell="A2" workbookViewId="0">
      <selection activeCell="I24" activeCellId="2" sqref="A24:C38 D24:D38 I24:K38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51" t="s">
        <v>14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Q1" s="13" t="e" vm="2">
        <v>#VALUE!</v>
      </c>
    </row>
    <row r="2" spans="1:17" ht="15.75" x14ac:dyDescent="0.25">
      <c r="D2" s="51" t="s">
        <v>15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7" ht="15.75" x14ac:dyDescent="0.25">
      <c r="B3" s="4"/>
      <c r="C3" s="4"/>
      <c r="D3" s="51" t="s">
        <v>5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17" ht="14.25" customHeight="1" x14ac:dyDescent="0.25">
      <c r="B4" s="4"/>
      <c r="C4" s="4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17" ht="1.5" customHeight="1" x14ac:dyDescent="0.2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4"/>
    </row>
    <row r="6" spans="1:17" ht="1.5" customHeight="1" x14ac:dyDescent="0.25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spans="1:17" ht="1.5" customHeight="1" x14ac:dyDescent="0.2"/>
    <row r="8" spans="1:17" ht="20.100000000000001" customHeight="1" x14ac:dyDescent="0.3">
      <c r="A8" s="5" t="s">
        <v>6</v>
      </c>
      <c r="B8" s="53" t="s">
        <v>26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</row>
    <row r="9" spans="1:17" ht="12.75" customHeight="1" x14ac:dyDescent="0.2">
      <c r="A9" s="2" t="s">
        <v>0</v>
      </c>
      <c r="B9" s="54" t="s">
        <v>27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</row>
    <row r="10" spans="1:17" x14ac:dyDescent="0.2">
      <c r="A10" s="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</row>
    <row r="11" spans="1:17" ht="12.75" customHeight="1" x14ac:dyDescent="0.2">
      <c r="A11" s="2" t="s">
        <v>1</v>
      </c>
      <c r="B11" s="50" t="s">
        <v>28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17" ht="12.75" customHeight="1" x14ac:dyDescent="0.2">
      <c r="A12" s="14" t="s">
        <v>29</v>
      </c>
      <c r="B12" s="55" t="s">
        <v>103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</row>
    <row r="13" spans="1:17" ht="12.75" customHeight="1" x14ac:dyDescent="0.2">
      <c r="A13" s="14" t="s">
        <v>30</v>
      </c>
      <c r="B13" s="50" t="s">
        <v>31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12.75" customHeight="1" x14ac:dyDescent="0.2">
      <c r="A14" s="2"/>
      <c r="B14" s="50"/>
      <c r="C14" s="50"/>
      <c r="D14" s="50"/>
      <c r="E14" s="50"/>
      <c r="F14" s="50"/>
      <c r="G14" s="50"/>
      <c r="H14" s="50"/>
      <c r="I14" s="50"/>
      <c r="J14" s="56" t="s">
        <v>7</v>
      </c>
      <c r="K14" s="56"/>
      <c r="L14" s="56"/>
      <c r="M14" s="56"/>
      <c r="N14" s="54" t="s">
        <v>35</v>
      </c>
      <c r="O14" s="54"/>
      <c r="P14" s="54"/>
      <c r="Q14" s="54"/>
    </row>
    <row r="15" spans="1:17" ht="12.75" customHeight="1" x14ac:dyDescent="0.2">
      <c r="A15" s="2" t="s">
        <v>2</v>
      </c>
      <c r="B15" s="50" t="s">
        <v>32</v>
      </c>
      <c r="C15" s="50"/>
      <c r="D15" s="50"/>
      <c r="E15" s="50"/>
      <c r="F15" s="50"/>
      <c r="G15" s="50"/>
      <c r="H15" s="50"/>
      <c r="I15" s="50"/>
      <c r="J15" s="56" t="s">
        <v>10</v>
      </c>
      <c r="K15" s="56"/>
      <c r="L15" s="56"/>
      <c r="M15" s="56"/>
      <c r="N15" s="54" t="s">
        <v>36</v>
      </c>
      <c r="O15" s="54"/>
      <c r="P15" s="54"/>
      <c r="Q15" s="54"/>
    </row>
    <row r="16" spans="1:17" ht="12.75" customHeight="1" x14ac:dyDescent="0.2">
      <c r="A16" s="2" t="s">
        <v>3</v>
      </c>
      <c r="B16" s="50" t="s">
        <v>33</v>
      </c>
      <c r="C16" s="50"/>
      <c r="D16" s="50"/>
      <c r="E16" s="50"/>
      <c r="F16" s="50"/>
      <c r="G16" s="50"/>
      <c r="H16" s="50"/>
      <c r="I16" s="50"/>
      <c r="J16" s="56" t="s">
        <v>8</v>
      </c>
      <c r="K16" s="56"/>
      <c r="L16" s="56"/>
      <c r="M16" s="56"/>
      <c r="N16" s="54" t="s">
        <v>37</v>
      </c>
      <c r="O16" s="54"/>
      <c r="P16" s="54"/>
      <c r="Q16" s="54"/>
    </row>
    <row r="17" spans="1:17" ht="12.75" customHeight="1" x14ac:dyDescent="0.2">
      <c r="A17" s="2"/>
      <c r="B17" s="57"/>
      <c r="C17" s="57"/>
      <c r="D17" s="57"/>
      <c r="E17" s="57"/>
      <c r="F17" s="57"/>
      <c r="G17" s="57"/>
      <c r="H17" s="57"/>
      <c r="I17" s="57"/>
      <c r="J17" s="58" t="s">
        <v>11</v>
      </c>
      <c r="K17" s="58"/>
      <c r="L17" s="58"/>
      <c r="M17" s="58"/>
      <c r="N17" s="54" t="s">
        <v>38</v>
      </c>
      <c r="O17" s="54"/>
      <c r="P17" s="54"/>
      <c r="Q17" s="54"/>
    </row>
    <row r="18" spans="1:17" ht="12.75" customHeight="1" x14ac:dyDescent="0.2">
      <c r="A18" s="2" t="s">
        <v>4</v>
      </c>
      <c r="B18" s="50" t="s">
        <v>34</v>
      </c>
      <c r="C18" s="50"/>
      <c r="D18" s="50"/>
      <c r="E18" s="50"/>
      <c r="F18" s="50"/>
      <c r="G18" s="50"/>
      <c r="H18" s="50"/>
      <c r="I18" s="50"/>
      <c r="J18" s="56" t="s">
        <v>9</v>
      </c>
      <c r="K18" s="56"/>
      <c r="L18" s="56"/>
      <c r="M18" s="56"/>
      <c r="N18" s="54" t="s">
        <v>39</v>
      </c>
      <c r="O18" s="54"/>
      <c r="P18" s="54"/>
      <c r="Q18" s="54"/>
    </row>
    <row r="19" spans="1:17" ht="12" customHeight="1" x14ac:dyDescent="0.2">
      <c r="C19" s="2"/>
    </row>
    <row r="20" spans="1:17" ht="15.75" customHeight="1" x14ac:dyDescent="0.2">
      <c r="A20" s="63" t="s">
        <v>12</v>
      </c>
      <c r="B20" s="64"/>
      <c r="C20" s="65"/>
      <c r="D20" s="72" t="s">
        <v>13</v>
      </c>
      <c r="E20" s="83" t="s">
        <v>16</v>
      </c>
      <c r="F20" s="41" t="s">
        <v>17</v>
      </c>
      <c r="G20" s="44" t="s">
        <v>18</v>
      </c>
      <c r="H20" s="60" t="s">
        <v>19</v>
      </c>
      <c r="I20" s="78" t="s">
        <v>20</v>
      </c>
      <c r="J20" s="79"/>
      <c r="K20" s="80"/>
      <c r="L20" s="47" t="s">
        <v>101</v>
      </c>
    </row>
    <row r="21" spans="1:17" ht="15.75" customHeight="1" x14ac:dyDescent="0.2">
      <c r="A21" s="66"/>
      <c r="B21" s="67"/>
      <c r="C21" s="68"/>
      <c r="D21" s="73"/>
      <c r="E21" s="84"/>
      <c r="F21" s="42"/>
      <c r="G21" s="45"/>
      <c r="H21" s="61"/>
      <c r="I21" s="77" t="s">
        <v>21</v>
      </c>
      <c r="J21" s="77"/>
      <c r="K21" s="81" t="s">
        <v>22</v>
      </c>
      <c r="L21" s="48"/>
    </row>
    <row r="22" spans="1:17" ht="15.75" customHeight="1" x14ac:dyDescent="0.2">
      <c r="A22" s="66"/>
      <c r="B22" s="67"/>
      <c r="C22" s="68"/>
      <c r="D22" s="73"/>
      <c r="E22" s="85"/>
      <c r="F22" s="43"/>
      <c r="G22" s="46"/>
      <c r="H22" s="61"/>
      <c r="I22" s="77"/>
      <c r="J22" s="77"/>
      <c r="K22" s="82"/>
      <c r="L22" s="49"/>
    </row>
    <row r="23" spans="1:17" ht="15.75" customHeight="1" x14ac:dyDescent="0.2">
      <c r="A23" s="69"/>
      <c r="B23" s="70"/>
      <c r="C23" s="71"/>
      <c r="D23" s="74"/>
      <c r="E23" s="75" t="s">
        <v>23</v>
      </c>
      <c r="F23" s="76"/>
      <c r="G23" s="76"/>
      <c r="H23" s="62"/>
      <c r="I23" s="11" t="s">
        <v>24</v>
      </c>
      <c r="J23" s="11" t="s">
        <v>25</v>
      </c>
      <c r="K23" s="12" t="s">
        <v>23</v>
      </c>
      <c r="L23" s="10" t="s">
        <v>23</v>
      </c>
    </row>
    <row r="24" spans="1:17" ht="15.95" customHeight="1" x14ac:dyDescent="0.2">
      <c r="A24" s="86" t="s">
        <v>40</v>
      </c>
      <c r="B24" s="87"/>
      <c r="C24" s="88"/>
      <c r="D24" s="15" t="s">
        <v>41</v>
      </c>
      <c r="E24" s="17">
        <v>9</v>
      </c>
      <c r="F24" s="22">
        <v>36</v>
      </c>
      <c r="G24" s="18">
        <v>55</v>
      </c>
      <c r="H24" s="22" t="s">
        <v>102</v>
      </c>
      <c r="I24" s="25">
        <v>40.42</v>
      </c>
      <c r="J24" s="34">
        <v>25.06</v>
      </c>
      <c r="K24" s="27">
        <f>+I24-J24</f>
        <v>15.360000000000003</v>
      </c>
      <c r="L24" s="38">
        <v>88</v>
      </c>
    </row>
    <row r="25" spans="1:17" ht="15.95" customHeight="1" x14ac:dyDescent="0.2">
      <c r="A25" s="89" t="s">
        <v>42</v>
      </c>
      <c r="B25" s="90"/>
      <c r="C25" s="91"/>
      <c r="D25" s="16" t="s">
        <v>43</v>
      </c>
      <c r="E25" s="19">
        <v>12</v>
      </c>
      <c r="F25" s="23">
        <v>36</v>
      </c>
      <c r="G25" s="13">
        <v>52</v>
      </c>
      <c r="H25" s="23" t="s">
        <v>102</v>
      </c>
      <c r="I25" s="28">
        <v>40.130000000000003</v>
      </c>
      <c r="J25" s="35">
        <v>25.14</v>
      </c>
      <c r="K25" s="30">
        <f t="shared" ref="K25:K38" si="0">+I25-J25</f>
        <v>14.990000000000002</v>
      </c>
      <c r="L25" s="39">
        <v>85</v>
      </c>
    </row>
    <row r="26" spans="1:17" ht="15.95" customHeight="1" x14ac:dyDescent="0.2">
      <c r="A26" s="89" t="s">
        <v>44</v>
      </c>
      <c r="B26" s="90"/>
      <c r="C26" s="91"/>
      <c r="D26" s="16" t="s">
        <v>45</v>
      </c>
      <c r="E26" s="19">
        <v>12</v>
      </c>
      <c r="F26" s="23">
        <v>35</v>
      </c>
      <c r="G26" s="13">
        <v>53</v>
      </c>
      <c r="H26" s="23" t="s">
        <v>102</v>
      </c>
      <c r="I26" s="28">
        <v>44.79</v>
      </c>
      <c r="J26" s="35">
        <v>25.83</v>
      </c>
      <c r="K26" s="30">
        <f t="shared" si="0"/>
        <v>18.96</v>
      </c>
      <c r="L26" s="39">
        <v>88</v>
      </c>
    </row>
    <row r="27" spans="1:17" ht="15.95" customHeight="1" x14ac:dyDescent="0.2">
      <c r="A27" s="89" t="s">
        <v>46</v>
      </c>
      <c r="B27" s="90"/>
      <c r="C27" s="91"/>
      <c r="D27" s="16" t="s">
        <v>47</v>
      </c>
      <c r="E27" s="19">
        <v>7</v>
      </c>
      <c r="F27" s="23">
        <v>24</v>
      </c>
      <c r="G27" s="13">
        <v>69</v>
      </c>
      <c r="H27" s="23" t="s">
        <v>102</v>
      </c>
      <c r="I27" s="28">
        <v>41.18</v>
      </c>
      <c r="J27" s="35">
        <v>28.77</v>
      </c>
      <c r="K27" s="30">
        <f t="shared" si="0"/>
        <v>12.41</v>
      </c>
      <c r="L27" s="39">
        <v>92</v>
      </c>
    </row>
    <row r="28" spans="1:17" ht="15.95" customHeight="1" x14ac:dyDescent="0.2">
      <c r="A28" s="89" t="s">
        <v>48</v>
      </c>
      <c r="B28" s="90"/>
      <c r="C28" s="91"/>
      <c r="D28" s="16" t="s">
        <v>49</v>
      </c>
      <c r="E28" s="19">
        <v>7</v>
      </c>
      <c r="F28" s="23">
        <v>24</v>
      </c>
      <c r="G28" s="13">
        <v>69</v>
      </c>
      <c r="H28" s="23" t="s">
        <v>102</v>
      </c>
      <c r="I28" s="28">
        <v>40.86</v>
      </c>
      <c r="J28" s="35">
        <v>28.25</v>
      </c>
      <c r="K28" s="30">
        <f t="shared" si="0"/>
        <v>12.61</v>
      </c>
      <c r="L28" s="39">
        <v>89</v>
      </c>
    </row>
    <row r="29" spans="1:17" ht="15.95" customHeight="1" x14ac:dyDescent="0.2">
      <c r="A29" s="89" t="s">
        <v>50</v>
      </c>
      <c r="B29" s="90"/>
      <c r="C29" s="91"/>
      <c r="D29" s="16" t="s">
        <v>51</v>
      </c>
      <c r="E29" s="19">
        <v>7</v>
      </c>
      <c r="F29" s="23">
        <v>24</v>
      </c>
      <c r="G29" s="13">
        <v>69</v>
      </c>
      <c r="H29" s="23" t="s">
        <v>102</v>
      </c>
      <c r="I29" s="28">
        <v>40.340000000000003</v>
      </c>
      <c r="J29" s="35">
        <v>28.57</v>
      </c>
      <c r="K29" s="30">
        <f t="shared" si="0"/>
        <v>11.770000000000003</v>
      </c>
      <c r="L29" s="39">
        <v>87</v>
      </c>
    </row>
    <row r="30" spans="1:17" ht="15.95" customHeight="1" x14ac:dyDescent="0.2">
      <c r="A30" s="89" t="s">
        <v>52</v>
      </c>
      <c r="B30" s="90"/>
      <c r="C30" s="91"/>
      <c r="D30" s="16" t="s">
        <v>53</v>
      </c>
      <c r="E30" s="19">
        <v>9</v>
      </c>
      <c r="F30" s="23">
        <v>31</v>
      </c>
      <c r="G30" s="13">
        <v>60</v>
      </c>
      <c r="H30" s="23" t="s">
        <v>102</v>
      </c>
      <c r="I30" s="28">
        <v>36.86</v>
      </c>
      <c r="J30" s="35">
        <v>24.65</v>
      </c>
      <c r="K30" s="30">
        <f t="shared" si="0"/>
        <v>12.21</v>
      </c>
      <c r="L30" s="39">
        <v>94</v>
      </c>
    </row>
    <row r="31" spans="1:17" ht="15.95" customHeight="1" x14ac:dyDescent="0.2">
      <c r="A31" s="89" t="s">
        <v>54</v>
      </c>
      <c r="B31" s="90"/>
      <c r="C31" s="91"/>
      <c r="D31" s="16" t="s">
        <v>55</v>
      </c>
      <c r="E31" s="19">
        <v>12</v>
      </c>
      <c r="F31" s="23">
        <v>27</v>
      </c>
      <c r="G31" s="13">
        <v>61</v>
      </c>
      <c r="H31" s="23" t="s">
        <v>102</v>
      </c>
      <c r="I31" s="28">
        <v>47.29</v>
      </c>
      <c r="J31" s="35">
        <v>24.62</v>
      </c>
      <c r="K31" s="30">
        <f t="shared" si="0"/>
        <v>22.669999999999998</v>
      </c>
      <c r="L31" s="39">
        <v>94</v>
      </c>
    </row>
    <row r="32" spans="1:17" ht="15.95" customHeight="1" x14ac:dyDescent="0.2">
      <c r="A32" s="89" t="s">
        <v>56</v>
      </c>
      <c r="B32" s="90"/>
      <c r="C32" s="91"/>
      <c r="D32" s="16" t="s">
        <v>57</v>
      </c>
      <c r="E32" s="19">
        <v>12</v>
      </c>
      <c r="F32" s="23">
        <v>27</v>
      </c>
      <c r="G32" s="13">
        <v>61</v>
      </c>
      <c r="H32" s="23" t="s">
        <v>102</v>
      </c>
      <c r="I32" s="28">
        <v>34.75</v>
      </c>
      <c r="J32" s="35">
        <v>25.87</v>
      </c>
      <c r="K32" s="30">
        <f t="shared" si="0"/>
        <v>8.879999999999999</v>
      </c>
      <c r="L32" s="39">
        <v>94</v>
      </c>
    </row>
    <row r="33" spans="1:12" ht="15.95" customHeight="1" x14ac:dyDescent="0.2">
      <c r="A33" s="89" t="s">
        <v>58</v>
      </c>
      <c r="B33" s="90"/>
      <c r="C33" s="91"/>
      <c r="D33" s="16" t="s">
        <v>59</v>
      </c>
      <c r="E33" s="19">
        <v>18</v>
      </c>
      <c r="F33" s="23">
        <v>32</v>
      </c>
      <c r="G33" s="13">
        <v>50</v>
      </c>
      <c r="H33" s="23" t="s">
        <v>102</v>
      </c>
      <c r="I33" s="28">
        <v>48.9</v>
      </c>
      <c r="J33" s="35">
        <v>25.24</v>
      </c>
      <c r="K33" s="30">
        <f t="shared" si="0"/>
        <v>23.66</v>
      </c>
      <c r="L33" s="39">
        <v>98</v>
      </c>
    </row>
    <row r="34" spans="1:12" ht="15.95" customHeight="1" x14ac:dyDescent="0.2">
      <c r="A34" s="89" t="s">
        <v>60</v>
      </c>
      <c r="B34" s="90"/>
      <c r="C34" s="91"/>
      <c r="D34" s="16" t="s">
        <v>61</v>
      </c>
      <c r="E34" s="19">
        <v>17</v>
      </c>
      <c r="F34" s="23">
        <v>34</v>
      </c>
      <c r="G34" s="13">
        <v>49</v>
      </c>
      <c r="H34" s="23" t="s">
        <v>102</v>
      </c>
      <c r="I34" s="28">
        <v>45.52</v>
      </c>
      <c r="J34" s="35">
        <v>25.79</v>
      </c>
      <c r="K34" s="30">
        <f t="shared" si="0"/>
        <v>19.730000000000004</v>
      </c>
      <c r="L34" s="39">
        <v>98</v>
      </c>
    </row>
    <row r="35" spans="1:12" ht="15.95" customHeight="1" x14ac:dyDescent="0.2">
      <c r="A35" s="89" t="s">
        <v>62</v>
      </c>
      <c r="B35" s="90"/>
      <c r="C35" s="91"/>
      <c r="D35" s="16" t="s">
        <v>63</v>
      </c>
      <c r="E35" s="19">
        <v>18</v>
      </c>
      <c r="F35" s="23">
        <v>35</v>
      </c>
      <c r="G35" s="13">
        <v>47</v>
      </c>
      <c r="H35" s="23" t="s">
        <v>102</v>
      </c>
      <c r="I35" s="28">
        <v>46.77</v>
      </c>
      <c r="J35" s="35">
        <v>25.28</v>
      </c>
      <c r="K35" s="30">
        <f t="shared" si="0"/>
        <v>21.490000000000002</v>
      </c>
      <c r="L35" s="39">
        <v>98</v>
      </c>
    </row>
    <row r="36" spans="1:12" ht="15.95" customHeight="1" x14ac:dyDescent="0.2">
      <c r="A36" s="89" t="s">
        <v>64</v>
      </c>
      <c r="B36" s="90"/>
      <c r="C36" s="91"/>
      <c r="D36" s="16" t="s">
        <v>65</v>
      </c>
      <c r="E36" s="19">
        <v>12</v>
      </c>
      <c r="F36" s="23">
        <v>28</v>
      </c>
      <c r="G36" s="13">
        <v>60</v>
      </c>
      <c r="H36" s="23" t="s">
        <v>102</v>
      </c>
      <c r="I36" s="28">
        <v>41.13</v>
      </c>
      <c r="J36" s="35">
        <v>26.3</v>
      </c>
      <c r="K36" s="30">
        <f t="shared" si="0"/>
        <v>14.830000000000002</v>
      </c>
      <c r="L36" s="39">
        <v>96</v>
      </c>
    </row>
    <row r="37" spans="1:12" ht="15.95" customHeight="1" x14ac:dyDescent="0.2">
      <c r="A37" s="89" t="s">
        <v>66</v>
      </c>
      <c r="B37" s="90"/>
      <c r="C37" s="91"/>
      <c r="D37" s="16" t="s">
        <v>67</v>
      </c>
      <c r="E37" s="19">
        <v>14</v>
      </c>
      <c r="F37" s="23">
        <v>26</v>
      </c>
      <c r="G37" s="13">
        <v>60</v>
      </c>
      <c r="H37" s="23" t="s">
        <v>102</v>
      </c>
      <c r="I37" s="28">
        <v>35.65</v>
      </c>
      <c r="J37" s="35">
        <v>26.57</v>
      </c>
      <c r="K37" s="30">
        <f t="shared" si="0"/>
        <v>9.0799999999999983</v>
      </c>
      <c r="L37" s="39">
        <v>96</v>
      </c>
    </row>
    <row r="38" spans="1:12" ht="15.95" customHeight="1" x14ac:dyDescent="0.2">
      <c r="A38" s="92" t="s">
        <v>68</v>
      </c>
      <c r="B38" s="93"/>
      <c r="C38" s="94"/>
      <c r="D38" s="37" t="s">
        <v>69</v>
      </c>
      <c r="E38" s="20">
        <v>12</v>
      </c>
      <c r="F38" s="24">
        <v>27</v>
      </c>
      <c r="G38" s="21">
        <v>61</v>
      </c>
      <c r="H38" s="24" t="s">
        <v>102</v>
      </c>
      <c r="I38" s="31">
        <v>38.08</v>
      </c>
      <c r="J38" s="36">
        <v>25.82</v>
      </c>
      <c r="K38" s="33">
        <f t="shared" si="0"/>
        <v>12.259999999999998</v>
      </c>
      <c r="L38" s="40">
        <v>95</v>
      </c>
    </row>
    <row r="39" spans="1:12" ht="15.75" customHeight="1" x14ac:dyDescent="0.2">
      <c r="A39" s="6"/>
      <c r="B39" s="6"/>
      <c r="C39" s="6"/>
      <c r="D39" s="8"/>
    </row>
    <row r="40" spans="1:12" ht="15.75" customHeight="1" x14ac:dyDescent="0.2">
      <c r="A40" s="6"/>
      <c r="B40" s="6"/>
      <c r="C40" s="6"/>
      <c r="D40" s="8"/>
    </row>
    <row r="41" spans="1:12" ht="15.75" customHeight="1" x14ac:dyDescent="0.2">
      <c r="A41" s="6"/>
      <c r="B41" s="6"/>
      <c r="C41" s="6"/>
      <c r="D41" s="8"/>
    </row>
    <row r="42" spans="1:12" ht="15.75" customHeight="1" x14ac:dyDescent="0.2">
      <c r="A42" s="6"/>
      <c r="B42" s="6"/>
      <c r="C42" s="6"/>
      <c r="D42" s="8"/>
    </row>
    <row r="43" spans="1:12" ht="15.75" customHeight="1" x14ac:dyDescent="0.2">
      <c r="A43" s="6"/>
      <c r="B43" s="6"/>
      <c r="C43" s="6"/>
      <c r="D43" s="8"/>
    </row>
    <row r="44" spans="1:12" ht="15.75" customHeight="1" x14ac:dyDescent="0.2">
      <c r="A44" s="6"/>
      <c r="B44" s="6"/>
      <c r="C44" s="6"/>
      <c r="D44" s="8"/>
    </row>
    <row r="45" spans="1:12" ht="15.75" customHeight="1" x14ac:dyDescent="0.2">
      <c r="A45" s="6"/>
      <c r="B45" s="6"/>
      <c r="C45" s="6"/>
      <c r="D45" s="8"/>
    </row>
    <row r="46" spans="1:12" ht="15.75" customHeight="1" x14ac:dyDescent="0.2">
      <c r="A46" s="6"/>
      <c r="B46" s="6"/>
      <c r="C46" s="6"/>
      <c r="D46" s="8"/>
    </row>
    <row r="47" spans="1:12" ht="15.75" customHeight="1" x14ac:dyDescent="0.2">
      <c r="A47" s="6"/>
      <c r="B47" s="6"/>
      <c r="C47" s="6"/>
      <c r="D47" s="8"/>
    </row>
    <row r="48" spans="1:12" ht="15.75" customHeight="1" x14ac:dyDescent="0.2">
      <c r="A48" s="6"/>
      <c r="B48" s="6"/>
      <c r="C48" s="6"/>
      <c r="D48" s="8"/>
    </row>
    <row r="49" spans="1:18" ht="18" customHeight="1" x14ac:dyDescent="0.2">
      <c r="A49" s="6"/>
      <c r="B49" s="6"/>
      <c r="C49" s="6"/>
      <c r="D49" s="8"/>
    </row>
    <row r="50" spans="1:18" ht="18" customHeight="1" x14ac:dyDescent="0.2">
      <c r="A50" s="6"/>
      <c r="B50" s="6"/>
      <c r="C50" s="6"/>
      <c r="D50" s="8"/>
    </row>
    <row r="51" spans="1:18" ht="18" customHeight="1" x14ac:dyDescent="0.2">
      <c r="B51" s="7"/>
      <c r="C51" s="7"/>
      <c r="D51" s="9"/>
    </row>
    <row r="52" spans="1:18" ht="18" customHeight="1" x14ac:dyDescent="0.2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</row>
    <row r="53" spans="1:18" ht="18" customHeight="1" x14ac:dyDescent="0.2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</row>
    <row r="54" spans="1:18" ht="18" customHeight="1" x14ac:dyDescent="0.2">
      <c r="A54" s="7"/>
      <c r="B54" s="7"/>
      <c r="C54" s="7"/>
      <c r="D54" s="9"/>
    </row>
    <row r="55" spans="1:18" ht="18" customHeight="1" x14ac:dyDescent="0.2">
      <c r="A55" s="7"/>
      <c r="B55" s="7"/>
      <c r="C55" s="7"/>
      <c r="D55" s="9"/>
    </row>
    <row r="56" spans="1:18" ht="18" customHeight="1" x14ac:dyDescent="0.2">
      <c r="A56" s="7"/>
      <c r="B56" s="7"/>
      <c r="C56" s="7"/>
      <c r="D56" s="9"/>
    </row>
    <row r="57" spans="1:18" ht="18" customHeight="1" x14ac:dyDescent="0.2">
      <c r="A57" s="7"/>
      <c r="B57" s="7"/>
      <c r="C57" s="7"/>
      <c r="D57" s="9"/>
    </row>
    <row r="58" spans="1:18" ht="18" customHeight="1" x14ac:dyDescent="0.2">
      <c r="A58" s="7"/>
      <c r="B58" s="7"/>
      <c r="C58" s="7"/>
      <c r="D58" s="9"/>
    </row>
    <row r="59" spans="1:18" ht="18" customHeight="1" x14ac:dyDescent="0.2">
      <c r="A59" s="7"/>
      <c r="B59" s="7"/>
      <c r="C59" s="7"/>
      <c r="D59" s="9"/>
    </row>
    <row r="60" spans="1:18" ht="18" customHeight="1" x14ac:dyDescent="0.2">
      <c r="A60" s="7"/>
      <c r="B60" s="7"/>
      <c r="C60" s="7"/>
      <c r="D60" s="9"/>
    </row>
    <row r="61" spans="1:18" ht="18" customHeight="1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  <row r="64" spans="1:18" x14ac:dyDescent="0.2">
      <c r="A64" s="7"/>
      <c r="B64" s="7"/>
      <c r="C64" s="7"/>
      <c r="D64" s="9"/>
    </row>
    <row r="65" spans="1:4" x14ac:dyDescent="0.2">
      <c r="A65" s="7"/>
      <c r="B65" s="7"/>
      <c r="C65" s="7"/>
      <c r="D65" s="9"/>
    </row>
    <row r="66" spans="1:4" x14ac:dyDescent="0.2">
      <c r="A66" s="7"/>
      <c r="B66" s="7"/>
      <c r="C66" s="7"/>
      <c r="D66" s="9"/>
    </row>
  </sheetData>
  <mergeCells count="55">
    <mergeCell ref="A37:C37"/>
    <mergeCell ref="A38:C38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52:R52"/>
    <mergeCell ref="A53:R53"/>
    <mergeCell ref="B18:I18"/>
    <mergeCell ref="J18:M18"/>
    <mergeCell ref="N18:Q18"/>
    <mergeCell ref="H20:H23"/>
    <mergeCell ref="A20:C23"/>
    <mergeCell ref="D20:D23"/>
    <mergeCell ref="E23:G23"/>
    <mergeCell ref="I21:J22"/>
    <mergeCell ref="I20:K20"/>
    <mergeCell ref="K21:K22"/>
    <mergeCell ref="E20:E22"/>
    <mergeCell ref="A24:C24"/>
    <mergeCell ref="A25:C25"/>
    <mergeCell ref="A26:C26"/>
    <mergeCell ref="B14:I14"/>
    <mergeCell ref="J14:M14"/>
    <mergeCell ref="B17:I17"/>
    <mergeCell ref="J17:M17"/>
    <mergeCell ref="N17:Q17"/>
    <mergeCell ref="B15:I15"/>
    <mergeCell ref="J15:M15"/>
    <mergeCell ref="N15:Q15"/>
    <mergeCell ref="B16:I16"/>
    <mergeCell ref="J16:M16"/>
    <mergeCell ref="N16:Q16"/>
    <mergeCell ref="F20:F22"/>
    <mergeCell ref="G20:G22"/>
    <mergeCell ref="L20:L22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N14:Q14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BF58-C6BB-4059-B9A7-07C2C8033772}">
  <sheetPr>
    <pageSetUpPr fitToPage="1"/>
  </sheetPr>
  <dimension ref="A1:R66"/>
  <sheetViews>
    <sheetView topLeftCell="A4" workbookViewId="0">
      <selection activeCell="Q32" sqref="Q32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51" t="s">
        <v>14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Q1" s="13" t="e" vm="2">
        <v>#VALUE!</v>
      </c>
    </row>
    <row r="2" spans="1:17" ht="15.75" x14ac:dyDescent="0.25">
      <c r="D2" s="51" t="s">
        <v>15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7" ht="15.75" x14ac:dyDescent="0.25">
      <c r="B3" s="4"/>
      <c r="C3" s="4"/>
      <c r="D3" s="51" t="s">
        <v>5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1:17" ht="14.25" customHeight="1" x14ac:dyDescent="0.25">
      <c r="B4" s="4"/>
      <c r="C4" s="4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17" ht="1.5" customHeight="1" x14ac:dyDescent="0.2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4"/>
    </row>
    <row r="6" spans="1:17" ht="1.5" customHeight="1" x14ac:dyDescent="0.25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spans="1:17" ht="1.5" customHeight="1" x14ac:dyDescent="0.2"/>
    <row r="8" spans="1:17" ht="20.100000000000001" customHeight="1" x14ac:dyDescent="0.3">
      <c r="A8" s="5" t="s">
        <v>6</v>
      </c>
      <c r="B8" s="53" t="s">
        <v>26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</row>
    <row r="9" spans="1:17" ht="12.75" customHeight="1" x14ac:dyDescent="0.2">
      <c r="A9" s="2" t="s">
        <v>0</v>
      </c>
      <c r="B9" s="54" t="s">
        <v>27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</row>
    <row r="10" spans="1:17" x14ac:dyDescent="0.2">
      <c r="A10" s="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</row>
    <row r="11" spans="1:17" ht="12.75" customHeight="1" x14ac:dyDescent="0.2">
      <c r="A11" s="2" t="s">
        <v>1</v>
      </c>
      <c r="B11" s="50" t="s">
        <v>28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</row>
    <row r="12" spans="1:17" ht="12.75" customHeight="1" x14ac:dyDescent="0.2">
      <c r="A12" s="14" t="s">
        <v>29</v>
      </c>
      <c r="B12" s="55" t="s">
        <v>103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</row>
    <row r="13" spans="1:17" ht="12.75" customHeight="1" x14ac:dyDescent="0.2">
      <c r="A13" s="14" t="s">
        <v>30</v>
      </c>
      <c r="B13" s="50" t="s">
        <v>31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spans="1:17" ht="12.75" customHeight="1" x14ac:dyDescent="0.2">
      <c r="A14" s="2"/>
      <c r="B14" s="50"/>
      <c r="C14" s="50"/>
      <c r="D14" s="50"/>
      <c r="E14" s="50"/>
      <c r="F14" s="50"/>
      <c r="G14" s="50"/>
      <c r="H14" s="50"/>
      <c r="I14" s="50"/>
      <c r="J14" s="56" t="s">
        <v>7</v>
      </c>
      <c r="K14" s="56"/>
      <c r="L14" s="56"/>
      <c r="M14" s="56"/>
      <c r="N14" s="54" t="s">
        <v>35</v>
      </c>
      <c r="O14" s="54"/>
      <c r="P14" s="54"/>
      <c r="Q14" s="54"/>
    </row>
    <row r="15" spans="1:17" ht="12.75" customHeight="1" x14ac:dyDescent="0.2">
      <c r="A15" s="2" t="s">
        <v>2</v>
      </c>
      <c r="B15" s="50" t="s">
        <v>32</v>
      </c>
      <c r="C15" s="50"/>
      <c r="D15" s="50"/>
      <c r="E15" s="50"/>
      <c r="F15" s="50"/>
      <c r="G15" s="50"/>
      <c r="H15" s="50"/>
      <c r="I15" s="50"/>
      <c r="J15" s="56" t="s">
        <v>10</v>
      </c>
      <c r="K15" s="56"/>
      <c r="L15" s="56"/>
      <c r="M15" s="56"/>
      <c r="N15" s="54" t="s">
        <v>36</v>
      </c>
      <c r="O15" s="54"/>
      <c r="P15" s="54"/>
      <c r="Q15" s="54"/>
    </row>
    <row r="16" spans="1:17" ht="12.75" customHeight="1" x14ac:dyDescent="0.2">
      <c r="A16" s="2" t="s">
        <v>3</v>
      </c>
      <c r="B16" s="50" t="s">
        <v>33</v>
      </c>
      <c r="C16" s="50"/>
      <c r="D16" s="50"/>
      <c r="E16" s="50"/>
      <c r="F16" s="50"/>
      <c r="G16" s="50"/>
      <c r="H16" s="50"/>
      <c r="I16" s="50"/>
      <c r="J16" s="56" t="s">
        <v>8</v>
      </c>
      <c r="K16" s="56"/>
      <c r="L16" s="56"/>
      <c r="M16" s="56"/>
      <c r="N16" s="54" t="s">
        <v>37</v>
      </c>
      <c r="O16" s="54"/>
      <c r="P16" s="54"/>
      <c r="Q16" s="54"/>
    </row>
    <row r="17" spans="1:17" ht="12.75" customHeight="1" x14ac:dyDescent="0.2">
      <c r="A17" s="2"/>
      <c r="B17" s="57"/>
      <c r="C17" s="57"/>
      <c r="D17" s="57"/>
      <c r="E17" s="57"/>
      <c r="F17" s="57"/>
      <c r="G17" s="57"/>
      <c r="H17" s="57"/>
      <c r="I17" s="57"/>
      <c r="J17" s="58" t="s">
        <v>11</v>
      </c>
      <c r="K17" s="58"/>
      <c r="L17" s="58"/>
      <c r="M17" s="58"/>
      <c r="N17" s="54" t="s">
        <v>38</v>
      </c>
      <c r="O17" s="54"/>
      <c r="P17" s="54"/>
      <c r="Q17" s="54"/>
    </row>
    <row r="18" spans="1:17" ht="12.75" customHeight="1" x14ac:dyDescent="0.2">
      <c r="A18" s="2" t="s">
        <v>4</v>
      </c>
      <c r="B18" s="50" t="s">
        <v>34</v>
      </c>
      <c r="C18" s="50"/>
      <c r="D18" s="50"/>
      <c r="E18" s="50"/>
      <c r="F18" s="50"/>
      <c r="G18" s="50"/>
      <c r="H18" s="50"/>
      <c r="I18" s="50"/>
      <c r="J18" s="56" t="s">
        <v>9</v>
      </c>
      <c r="K18" s="56"/>
      <c r="L18" s="56"/>
      <c r="M18" s="56"/>
      <c r="N18" s="54" t="s">
        <v>70</v>
      </c>
      <c r="O18" s="54"/>
      <c r="P18" s="54"/>
      <c r="Q18" s="54"/>
    </row>
    <row r="19" spans="1:17" ht="12" customHeight="1" x14ac:dyDescent="0.2">
      <c r="C19" s="2"/>
    </row>
    <row r="20" spans="1:17" ht="15.75" customHeight="1" x14ac:dyDescent="0.2">
      <c r="A20" s="63" t="s">
        <v>12</v>
      </c>
      <c r="B20" s="64"/>
      <c r="C20" s="65"/>
      <c r="D20" s="72" t="s">
        <v>13</v>
      </c>
      <c r="E20" s="83" t="s">
        <v>16</v>
      </c>
      <c r="F20" s="41" t="s">
        <v>17</v>
      </c>
      <c r="G20" s="44" t="s">
        <v>18</v>
      </c>
      <c r="H20" s="60" t="s">
        <v>19</v>
      </c>
      <c r="I20" s="78" t="s">
        <v>20</v>
      </c>
      <c r="J20" s="79"/>
      <c r="K20" s="80"/>
      <c r="L20" s="47" t="s">
        <v>101</v>
      </c>
    </row>
    <row r="21" spans="1:17" ht="15.75" customHeight="1" x14ac:dyDescent="0.2">
      <c r="A21" s="66"/>
      <c r="B21" s="67"/>
      <c r="C21" s="68"/>
      <c r="D21" s="73"/>
      <c r="E21" s="84"/>
      <c r="F21" s="42"/>
      <c r="G21" s="45"/>
      <c r="H21" s="61"/>
      <c r="I21" s="77" t="s">
        <v>21</v>
      </c>
      <c r="J21" s="77"/>
      <c r="K21" s="81" t="s">
        <v>22</v>
      </c>
      <c r="L21" s="48"/>
    </row>
    <row r="22" spans="1:17" ht="15.75" customHeight="1" x14ac:dyDescent="0.2">
      <c r="A22" s="66"/>
      <c r="B22" s="67"/>
      <c r="C22" s="68"/>
      <c r="D22" s="73"/>
      <c r="E22" s="85"/>
      <c r="F22" s="43"/>
      <c r="G22" s="46"/>
      <c r="H22" s="61"/>
      <c r="I22" s="77"/>
      <c r="J22" s="77"/>
      <c r="K22" s="82"/>
      <c r="L22" s="49"/>
    </row>
    <row r="23" spans="1:17" ht="15.75" customHeight="1" x14ac:dyDescent="0.2">
      <c r="A23" s="69"/>
      <c r="B23" s="70"/>
      <c r="C23" s="71"/>
      <c r="D23" s="74"/>
      <c r="E23" s="75" t="s">
        <v>23</v>
      </c>
      <c r="F23" s="76"/>
      <c r="G23" s="76"/>
      <c r="H23" s="62"/>
      <c r="I23" s="11" t="s">
        <v>24</v>
      </c>
      <c r="J23" s="11" t="s">
        <v>25</v>
      </c>
      <c r="K23" s="12" t="s">
        <v>23</v>
      </c>
      <c r="L23" s="10" t="s">
        <v>23</v>
      </c>
    </row>
    <row r="24" spans="1:17" ht="15.95" customHeight="1" x14ac:dyDescent="0.2">
      <c r="A24" s="86" t="s">
        <v>71</v>
      </c>
      <c r="B24" s="87"/>
      <c r="C24" s="87"/>
      <c r="D24" s="15" t="s">
        <v>72</v>
      </c>
      <c r="E24" s="17">
        <v>7</v>
      </c>
      <c r="F24" s="22">
        <v>25</v>
      </c>
      <c r="G24" s="18">
        <v>68</v>
      </c>
      <c r="H24" s="22" t="s">
        <v>102</v>
      </c>
      <c r="I24" s="26">
        <v>40.39</v>
      </c>
      <c r="J24" s="34">
        <v>28.48</v>
      </c>
      <c r="K24" s="26">
        <f>+I24-J24</f>
        <v>11.91</v>
      </c>
      <c r="L24" s="22">
        <v>93</v>
      </c>
    </row>
    <row r="25" spans="1:17" ht="15.95" customHeight="1" x14ac:dyDescent="0.2">
      <c r="A25" s="89" t="s">
        <v>73</v>
      </c>
      <c r="B25" s="90"/>
      <c r="C25" s="90"/>
      <c r="D25" s="16" t="s">
        <v>74</v>
      </c>
      <c r="E25" s="19">
        <v>9</v>
      </c>
      <c r="F25" s="23">
        <v>23</v>
      </c>
      <c r="G25" s="13">
        <v>68</v>
      </c>
      <c r="H25" s="23" t="s">
        <v>102</v>
      </c>
      <c r="I25" s="29">
        <v>46.21</v>
      </c>
      <c r="J25" s="35">
        <v>28.35</v>
      </c>
      <c r="K25" s="29">
        <f t="shared" ref="K25:K38" si="0">+I25-J25</f>
        <v>17.86</v>
      </c>
      <c r="L25" s="23">
        <v>93</v>
      </c>
    </row>
    <row r="26" spans="1:17" ht="15.95" customHeight="1" x14ac:dyDescent="0.2">
      <c r="A26" s="89" t="s">
        <v>75</v>
      </c>
      <c r="B26" s="90"/>
      <c r="C26" s="90"/>
      <c r="D26" s="16" t="s">
        <v>76</v>
      </c>
      <c r="E26" s="19">
        <v>7</v>
      </c>
      <c r="F26" s="23">
        <v>27</v>
      </c>
      <c r="G26" s="13">
        <v>66</v>
      </c>
      <c r="H26" s="23" t="s">
        <v>102</v>
      </c>
      <c r="I26" s="29">
        <v>42.05</v>
      </c>
      <c r="J26" s="35">
        <v>28.52</v>
      </c>
      <c r="K26" s="29">
        <f t="shared" si="0"/>
        <v>13.529999999999998</v>
      </c>
      <c r="L26" s="23">
        <v>89</v>
      </c>
    </row>
    <row r="27" spans="1:17" ht="15.95" customHeight="1" x14ac:dyDescent="0.2">
      <c r="A27" s="89" t="s">
        <v>77</v>
      </c>
      <c r="B27" s="90"/>
      <c r="C27" s="90"/>
      <c r="D27" s="16" t="s">
        <v>78</v>
      </c>
      <c r="E27" s="19">
        <v>13</v>
      </c>
      <c r="F27" s="23">
        <v>23</v>
      </c>
      <c r="G27" s="13">
        <v>64</v>
      </c>
      <c r="H27" s="23" t="s">
        <v>102</v>
      </c>
      <c r="I27" s="29">
        <v>43.89</v>
      </c>
      <c r="J27" s="35">
        <v>28.09</v>
      </c>
      <c r="K27" s="29">
        <f t="shared" si="0"/>
        <v>15.8</v>
      </c>
      <c r="L27" s="23">
        <v>97</v>
      </c>
    </row>
    <row r="28" spans="1:17" ht="15.95" customHeight="1" x14ac:dyDescent="0.2">
      <c r="A28" s="89" t="s">
        <v>79</v>
      </c>
      <c r="B28" s="90"/>
      <c r="C28" s="90"/>
      <c r="D28" s="16" t="s">
        <v>80</v>
      </c>
      <c r="E28" s="19">
        <v>10</v>
      </c>
      <c r="F28" s="23">
        <v>25</v>
      </c>
      <c r="G28" s="13">
        <v>65</v>
      </c>
      <c r="H28" s="23" t="s">
        <v>102</v>
      </c>
      <c r="I28" s="29">
        <v>44.02</v>
      </c>
      <c r="J28" s="35">
        <v>28.62</v>
      </c>
      <c r="K28" s="29">
        <f t="shared" si="0"/>
        <v>15.400000000000002</v>
      </c>
      <c r="L28" s="23">
        <v>98</v>
      </c>
    </row>
    <row r="29" spans="1:17" ht="15.95" customHeight="1" x14ac:dyDescent="0.2">
      <c r="A29" s="89" t="s">
        <v>81</v>
      </c>
      <c r="B29" s="90"/>
      <c r="C29" s="90"/>
      <c r="D29" s="16" t="s">
        <v>82</v>
      </c>
      <c r="E29" s="19">
        <v>10</v>
      </c>
      <c r="F29" s="23">
        <v>25</v>
      </c>
      <c r="G29" s="13">
        <v>65</v>
      </c>
      <c r="H29" s="23" t="s">
        <v>102</v>
      </c>
      <c r="I29" s="29">
        <v>55.9</v>
      </c>
      <c r="J29" s="35">
        <v>29.69</v>
      </c>
      <c r="K29" s="29">
        <f t="shared" si="0"/>
        <v>26.209999999999997</v>
      </c>
      <c r="L29" s="23">
        <v>96</v>
      </c>
    </row>
    <row r="30" spans="1:17" ht="15.95" customHeight="1" x14ac:dyDescent="0.2">
      <c r="A30" s="89" t="s">
        <v>83</v>
      </c>
      <c r="B30" s="90"/>
      <c r="C30" s="90"/>
      <c r="D30" s="16" t="s">
        <v>84</v>
      </c>
      <c r="E30" s="19">
        <v>9</v>
      </c>
      <c r="F30" s="23">
        <v>28</v>
      </c>
      <c r="G30" s="13">
        <v>63</v>
      </c>
      <c r="H30" s="23" t="s">
        <v>102</v>
      </c>
      <c r="I30" s="29">
        <v>61.05</v>
      </c>
      <c r="J30" s="35">
        <v>32.340000000000003</v>
      </c>
      <c r="K30" s="29">
        <f t="shared" si="0"/>
        <v>28.709999999999994</v>
      </c>
      <c r="L30" s="23">
        <v>96</v>
      </c>
    </row>
    <row r="31" spans="1:17" ht="15.95" customHeight="1" x14ac:dyDescent="0.2">
      <c r="A31" s="89" t="s">
        <v>85</v>
      </c>
      <c r="B31" s="90"/>
      <c r="C31" s="90"/>
      <c r="D31" s="16" t="s">
        <v>86</v>
      </c>
      <c r="E31" s="19">
        <v>10</v>
      </c>
      <c r="F31" s="23">
        <v>27</v>
      </c>
      <c r="G31" s="13">
        <v>63</v>
      </c>
      <c r="H31" s="23" t="s">
        <v>102</v>
      </c>
      <c r="I31" s="29">
        <v>79.63</v>
      </c>
      <c r="J31" s="35">
        <v>32.409999999999997</v>
      </c>
      <c r="K31" s="29">
        <f t="shared" si="0"/>
        <v>47.22</v>
      </c>
      <c r="L31" s="23">
        <v>88</v>
      </c>
    </row>
    <row r="32" spans="1:17" ht="15.95" customHeight="1" x14ac:dyDescent="0.2">
      <c r="A32" s="89" t="s">
        <v>87</v>
      </c>
      <c r="B32" s="90"/>
      <c r="C32" s="90"/>
      <c r="D32" s="16" t="s">
        <v>88</v>
      </c>
      <c r="E32" s="19">
        <v>10</v>
      </c>
      <c r="F32" s="23">
        <v>27</v>
      </c>
      <c r="G32" s="13">
        <v>63</v>
      </c>
      <c r="H32" s="23" t="s">
        <v>102</v>
      </c>
      <c r="I32" s="29">
        <v>66.86</v>
      </c>
      <c r="J32" s="35">
        <v>32.6</v>
      </c>
      <c r="K32" s="29">
        <f t="shared" si="0"/>
        <v>34.26</v>
      </c>
      <c r="L32" s="23">
        <v>89</v>
      </c>
    </row>
    <row r="33" spans="1:12" ht="15.95" customHeight="1" x14ac:dyDescent="0.2">
      <c r="A33" s="89" t="s">
        <v>89</v>
      </c>
      <c r="B33" s="90"/>
      <c r="C33" s="90"/>
      <c r="D33" s="16" t="s">
        <v>90</v>
      </c>
      <c r="E33" s="19">
        <v>14</v>
      </c>
      <c r="F33" s="23">
        <v>32</v>
      </c>
      <c r="G33" s="13">
        <v>54</v>
      </c>
      <c r="H33" s="23" t="s">
        <v>102</v>
      </c>
      <c r="I33" s="29">
        <v>39.56</v>
      </c>
      <c r="J33" s="35">
        <v>27.72</v>
      </c>
      <c r="K33" s="29">
        <f t="shared" si="0"/>
        <v>11.840000000000003</v>
      </c>
      <c r="L33" s="23">
        <v>97</v>
      </c>
    </row>
    <row r="34" spans="1:12" ht="15.95" customHeight="1" x14ac:dyDescent="0.2">
      <c r="A34" s="89" t="s">
        <v>91</v>
      </c>
      <c r="B34" s="90"/>
      <c r="C34" s="90"/>
      <c r="D34" s="16" t="s">
        <v>92</v>
      </c>
      <c r="E34" s="19">
        <v>15</v>
      </c>
      <c r="F34" s="23">
        <v>31</v>
      </c>
      <c r="G34" s="13">
        <v>54</v>
      </c>
      <c r="H34" s="23" t="s">
        <v>102</v>
      </c>
      <c r="I34" s="29">
        <v>53.06</v>
      </c>
      <c r="J34" s="35">
        <v>27.97</v>
      </c>
      <c r="K34" s="29">
        <f t="shared" si="0"/>
        <v>25.090000000000003</v>
      </c>
      <c r="L34" s="23">
        <v>98</v>
      </c>
    </row>
    <row r="35" spans="1:12" ht="15.95" customHeight="1" x14ac:dyDescent="0.2">
      <c r="A35" s="89" t="s">
        <v>93</v>
      </c>
      <c r="B35" s="90"/>
      <c r="C35" s="90"/>
      <c r="D35" s="16" t="s">
        <v>94</v>
      </c>
      <c r="E35" s="19">
        <v>15</v>
      </c>
      <c r="F35" s="23">
        <v>31</v>
      </c>
      <c r="G35" s="13">
        <v>54</v>
      </c>
      <c r="H35" s="23" t="s">
        <v>102</v>
      </c>
      <c r="I35" s="29">
        <v>62.65</v>
      </c>
      <c r="J35" s="35">
        <v>27.86</v>
      </c>
      <c r="K35" s="29">
        <f t="shared" si="0"/>
        <v>34.79</v>
      </c>
      <c r="L35" s="23">
        <v>97</v>
      </c>
    </row>
    <row r="36" spans="1:12" ht="15.95" customHeight="1" x14ac:dyDescent="0.2">
      <c r="A36" s="89" t="s">
        <v>95</v>
      </c>
      <c r="B36" s="90"/>
      <c r="C36" s="90"/>
      <c r="D36" s="16" t="s">
        <v>96</v>
      </c>
      <c r="E36" s="19">
        <v>13</v>
      </c>
      <c r="F36" s="23">
        <v>26</v>
      </c>
      <c r="G36" s="13">
        <v>61</v>
      </c>
      <c r="H36" s="23" t="s">
        <v>102</v>
      </c>
      <c r="I36" s="29">
        <v>85.33</v>
      </c>
      <c r="J36" s="35">
        <v>29.47</v>
      </c>
      <c r="K36" s="29">
        <f t="shared" si="0"/>
        <v>55.86</v>
      </c>
      <c r="L36" s="23">
        <v>94</v>
      </c>
    </row>
    <row r="37" spans="1:12" ht="15.95" customHeight="1" x14ac:dyDescent="0.2">
      <c r="A37" s="89" t="s">
        <v>97</v>
      </c>
      <c r="B37" s="90"/>
      <c r="C37" s="90"/>
      <c r="D37" s="16" t="s">
        <v>98</v>
      </c>
      <c r="E37" s="19">
        <v>13</v>
      </c>
      <c r="F37" s="23">
        <v>26</v>
      </c>
      <c r="G37" s="13">
        <v>61</v>
      </c>
      <c r="H37" s="23" t="s">
        <v>102</v>
      </c>
      <c r="I37" s="29">
        <v>82.68</v>
      </c>
      <c r="J37" s="35">
        <v>29.56</v>
      </c>
      <c r="K37" s="29">
        <f t="shared" si="0"/>
        <v>53.120000000000005</v>
      </c>
      <c r="L37" s="23">
        <v>97</v>
      </c>
    </row>
    <row r="38" spans="1:12" ht="15.95" customHeight="1" x14ac:dyDescent="0.2">
      <c r="A38" s="92" t="s">
        <v>99</v>
      </c>
      <c r="B38" s="93"/>
      <c r="C38" s="93"/>
      <c r="D38" s="37" t="s">
        <v>100</v>
      </c>
      <c r="E38" s="20">
        <v>13</v>
      </c>
      <c r="F38" s="24">
        <v>27</v>
      </c>
      <c r="G38" s="21">
        <v>60</v>
      </c>
      <c r="H38" s="24" t="s">
        <v>102</v>
      </c>
      <c r="I38" s="32">
        <v>69.33</v>
      </c>
      <c r="J38" s="36">
        <v>29.06</v>
      </c>
      <c r="K38" s="32">
        <f t="shared" si="0"/>
        <v>40.269999999999996</v>
      </c>
      <c r="L38" s="24">
        <v>97</v>
      </c>
    </row>
    <row r="39" spans="1:12" ht="15.75" customHeight="1" x14ac:dyDescent="0.2">
      <c r="A39" s="6"/>
      <c r="B39" s="6"/>
      <c r="C39" s="6"/>
      <c r="D39" s="8"/>
    </row>
    <row r="40" spans="1:12" ht="15.75" customHeight="1" x14ac:dyDescent="0.2">
      <c r="A40" s="6"/>
      <c r="B40" s="6"/>
      <c r="C40" s="6"/>
      <c r="D40" s="8"/>
    </row>
    <row r="41" spans="1:12" ht="15.75" customHeight="1" x14ac:dyDescent="0.2">
      <c r="A41" s="6"/>
      <c r="B41" s="6"/>
      <c r="C41" s="6"/>
      <c r="D41" s="8"/>
    </row>
    <row r="42" spans="1:12" ht="15.75" customHeight="1" x14ac:dyDescent="0.2">
      <c r="A42" s="6"/>
      <c r="B42" s="6"/>
      <c r="C42" s="6"/>
      <c r="D42" s="8"/>
    </row>
    <row r="43" spans="1:12" ht="15.75" customHeight="1" x14ac:dyDescent="0.2">
      <c r="A43" s="6"/>
      <c r="B43" s="6"/>
      <c r="C43" s="6"/>
      <c r="D43" s="8"/>
    </row>
    <row r="44" spans="1:12" ht="15.75" customHeight="1" x14ac:dyDescent="0.2">
      <c r="A44" s="6"/>
      <c r="B44" s="6"/>
      <c r="C44" s="6"/>
      <c r="D44" s="8"/>
    </row>
    <row r="45" spans="1:12" ht="15.75" customHeight="1" x14ac:dyDescent="0.2">
      <c r="A45" s="6"/>
      <c r="B45" s="6"/>
      <c r="C45" s="6"/>
      <c r="D45" s="8"/>
    </row>
    <row r="46" spans="1:12" ht="15.75" customHeight="1" x14ac:dyDescent="0.2">
      <c r="A46" s="6"/>
      <c r="B46" s="6"/>
      <c r="C46" s="6"/>
      <c r="D46" s="8"/>
    </row>
    <row r="47" spans="1:12" ht="15.75" customHeight="1" x14ac:dyDescent="0.2">
      <c r="A47" s="6"/>
      <c r="B47" s="6"/>
      <c r="C47" s="6"/>
      <c r="D47" s="8"/>
    </row>
    <row r="48" spans="1:12" ht="15.75" customHeight="1" x14ac:dyDescent="0.2">
      <c r="A48" s="6"/>
      <c r="B48" s="6"/>
      <c r="C48" s="6"/>
      <c r="D48" s="8"/>
    </row>
    <row r="49" spans="1:18" ht="18" customHeight="1" x14ac:dyDescent="0.2">
      <c r="A49" s="6"/>
      <c r="B49" s="6"/>
      <c r="C49" s="6"/>
      <c r="D49" s="8"/>
    </row>
    <row r="50" spans="1:18" ht="18" customHeight="1" x14ac:dyDescent="0.2">
      <c r="A50" s="6"/>
      <c r="B50" s="6"/>
      <c r="C50" s="6"/>
      <c r="D50" s="8"/>
    </row>
    <row r="51" spans="1:18" ht="18" customHeight="1" x14ac:dyDescent="0.2">
      <c r="B51" s="7"/>
      <c r="C51" s="7"/>
      <c r="D51" s="9"/>
    </row>
    <row r="52" spans="1:18" ht="18" customHeight="1" x14ac:dyDescent="0.2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</row>
    <row r="53" spans="1:18" ht="18" customHeight="1" x14ac:dyDescent="0.2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</row>
    <row r="54" spans="1:18" ht="18" customHeight="1" x14ac:dyDescent="0.2">
      <c r="A54" s="7"/>
      <c r="B54" s="7"/>
      <c r="C54" s="7"/>
      <c r="D54" s="9"/>
    </row>
    <row r="55" spans="1:18" ht="18" customHeight="1" x14ac:dyDescent="0.2">
      <c r="A55" s="7"/>
      <c r="B55" s="7"/>
      <c r="C55" s="7"/>
      <c r="D55" s="9"/>
    </row>
    <row r="56" spans="1:18" ht="18" customHeight="1" x14ac:dyDescent="0.2">
      <c r="A56" s="7"/>
      <c r="B56" s="7"/>
      <c r="C56" s="7"/>
      <c r="D56" s="9"/>
    </row>
    <row r="57" spans="1:18" ht="18" customHeight="1" x14ac:dyDescent="0.2">
      <c r="A57" s="7"/>
      <c r="B57" s="7"/>
      <c r="C57" s="7"/>
      <c r="D57" s="9"/>
    </row>
    <row r="58" spans="1:18" ht="18" customHeight="1" x14ac:dyDescent="0.2">
      <c r="A58" s="7"/>
      <c r="B58" s="7"/>
      <c r="C58" s="7"/>
      <c r="D58" s="9"/>
    </row>
    <row r="59" spans="1:18" ht="18" customHeight="1" x14ac:dyDescent="0.2">
      <c r="A59" s="7"/>
      <c r="B59" s="7"/>
      <c r="C59" s="7"/>
      <c r="D59" s="9"/>
    </row>
    <row r="60" spans="1:18" ht="18" customHeight="1" x14ac:dyDescent="0.2">
      <c r="A60" s="7"/>
      <c r="B60" s="7"/>
      <c r="C60" s="7"/>
      <c r="D60" s="9"/>
    </row>
    <row r="61" spans="1:18" ht="18" customHeight="1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  <row r="64" spans="1:18" x14ac:dyDescent="0.2">
      <c r="A64" s="7"/>
      <c r="B64" s="7"/>
      <c r="C64" s="7"/>
      <c r="D64" s="9"/>
    </row>
    <row r="65" spans="1:4" x14ac:dyDescent="0.2">
      <c r="A65" s="7"/>
      <c r="B65" s="7"/>
      <c r="C65" s="7"/>
      <c r="D65" s="9"/>
    </row>
    <row r="66" spans="1:4" x14ac:dyDescent="0.2">
      <c r="A66" s="7"/>
      <c r="B66" s="7"/>
      <c r="C66" s="7"/>
      <c r="D66" s="9"/>
    </row>
  </sheetData>
  <mergeCells count="55">
    <mergeCell ref="A35:C35"/>
    <mergeCell ref="A52:R52"/>
    <mergeCell ref="A53:R53"/>
    <mergeCell ref="A24:C24"/>
    <mergeCell ref="A25:C25"/>
    <mergeCell ref="A26:C26"/>
    <mergeCell ref="A27:C27"/>
    <mergeCell ref="A28:C28"/>
    <mergeCell ref="A29:C29"/>
    <mergeCell ref="A30:C30"/>
    <mergeCell ref="A36:C36"/>
    <mergeCell ref="A37:C37"/>
    <mergeCell ref="A38:C38"/>
    <mergeCell ref="A31:C31"/>
    <mergeCell ref="A32:C32"/>
    <mergeCell ref="A33:C33"/>
    <mergeCell ref="A34:C34"/>
    <mergeCell ref="B18:I18"/>
    <mergeCell ref="J18:M18"/>
    <mergeCell ref="N18:Q18"/>
    <mergeCell ref="A20:C23"/>
    <mergeCell ref="D20:D23"/>
    <mergeCell ref="E20:E22"/>
    <mergeCell ref="F20:F22"/>
    <mergeCell ref="G20:G22"/>
    <mergeCell ref="H20:H23"/>
    <mergeCell ref="E23:G23"/>
    <mergeCell ref="I20:K20"/>
    <mergeCell ref="L20:L22"/>
    <mergeCell ref="I21:J22"/>
    <mergeCell ref="K21:K22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26-00869 - 26-00883</vt:lpstr>
      <vt:lpstr>26-00884 - 26-00898</vt:lpstr>
      <vt:lpstr>'26-00869 - 26-00883'!Área_de_impresión</vt:lpstr>
      <vt:lpstr>'26-00884 - 26-00898'!Área_de_impresión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MANUEL HIDALGO CAMPOS</dc:creator>
  <cp:lastModifiedBy>Jesús Céspedes Rivera</cp:lastModifiedBy>
  <cp:lastPrinted>2017-02-20T17:24:16Z</cp:lastPrinted>
  <dcterms:created xsi:type="dcterms:W3CDTF">2005-11-21T21:38:59Z</dcterms:created>
  <dcterms:modified xsi:type="dcterms:W3CDTF">2026-09-11T15:43:45Z</dcterms:modified>
</cp:coreProperties>
</file>