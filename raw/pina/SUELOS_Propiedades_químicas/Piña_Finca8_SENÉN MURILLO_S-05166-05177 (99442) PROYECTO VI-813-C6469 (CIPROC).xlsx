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Suelos y Foliares/"/>
    </mc:Choice>
  </mc:AlternateContent>
  <xr:revisionPtr revIDLastSave="3" documentId="8_{21CF32BA-15B5-49C8-A37A-F4D96C09B863}" xr6:coauthVersionLast="47" xr6:coauthVersionMax="47" xr10:uidLastSave="{A4D3907F-86A1-4B42-9B65-F0614BA4B892}"/>
  <bookViews>
    <workbookView xWindow="-120" yWindow="-120" windowWidth="24240" windowHeight="13140" xr2:uid="{C1882843-9AAC-4228-BFB4-1E050A7F00C6}"/>
  </bookViews>
  <sheets>
    <sheet name="26-05166 - 26-05177" sheetId="6" r:id="rId1"/>
    <sheet name="Hoja2" sheetId="19" state="hidden" r:id="rId2"/>
    <sheet name="INTERPRETACION" sheetId="20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0" l="1"/>
  <c r="G26" i="20"/>
  <c r="H26" i="20"/>
  <c r="I26" i="20"/>
</calcChain>
</file>

<file path=xl/sharedStrings.xml><?xml version="1.0" encoding="utf-8"?>
<sst xmlns="http://schemas.openxmlformats.org/spreadsheetml/2006/main" count="139" uniqueCount="82">
  <si>
    <t>CIUDAD DE LA INVESTIGACIÓN</t>
  </si>
  <si>
    <t>LABORATORIO DE SUELOS Y FOLIARES</t>
  </si>
  <si>
    <t>REPORTE DE ENSAYO</t>
  </si>
  <si>
    <t>RE-R01 (V5)</t>
  </si>
  <si>
    <t>Nº DE REPORTE:</t>
  </si>
  <si>
    <t>99442</t>
  </si>
  <si>
    <t>USUARIO:</t>
  </si>
  <si>
    <t>PROYECTO VI-813-C6469 (CIPROC)</t>
  </si>
  <si>
    <t>RESPONSABLE:</t>
  </si>
  <si>
    <t>MANUEL CAMACHO</t>
  </si>
  <si>
    <t>CULTIVO:</t>
  </si>
  <si>
    <t>PIÑA Y BOSQUE</t>
  </si>
  <si>
    <t>FECHA DE RECEPCIÓN:</t>
  </si>
  <si>
    <t xml:space="preserve">20/04/2026 </t>
  </si>
  <si>
    <t>TELEFONO:</t>
  </si>
  <si>
    <t>2511-3237, 2511-8738, 4141</t>
  </si>
  <si>
    <t>ANÁLISIS:</t>
  </si>
  <si>
    <t>QC,CN</t>
  </si>
  <si>
    <t>EMISIÓN DE REPORTE:</t>
  </si>
  <si>
    <t xml:space="preserve">29/04/2026 </t>
  </si>
  <si>
    <t>UBICACIÓN:</t>
  </si>
  <si>
    <t>ALAJUELA,UPALA</t>
  </si>
  <si>
    <t>Nº DE MUESTRAS:</t>
  </si>
  <si>
    <t>PÁGINA:</t>
  </si>
  <si>
    <t>1/1</t>
  </si>
  <si>
    <t>CORREO:</t>
  </si>
  <si>
    <t>manuel.camachoumana@ucr.ac.cr, rebeca.sandovalruiz@ucr.ac.cr</t>
  </si>
  <si>
    <t>ANÁLISIS QUÍMICO DE SUELOS</t>
  </si>
  <si>
    <t>Solución Extractora:</t>
  </si>
  <si>
    <t>pH</t>
  </si>
  <si>
    <t>cmol(+)/L</t>
  </si>
  <si>
    <t>%</t>
  </si>
  <si>
    <t>mg/L</t>
  </si>
  <si>
    <t>mS/cm</t>
  </si>
  <si>
    <t>Relación</t>
  </si>
  <si>
    <t>KCl-Olsen Modificado</t>
  </si>
  <si>
    <t>H₂O</t>
  </si>
  <si>
    <t>Acidez</t>
  </si>
  <si>
    <t>Ca</t>
  </si>
  <si>
    <t>Mg</t>
  </si>
  <si>
    <t>K</t>
  </si>
  <si>
    <t>CICE</t>
  </si>
  <si>
    <t>SA</t>
  </si>
  <si>
    <t>P</t>
  </si>
  <si>
    <t>Zn</t>
  </si>
  <si>
    <t>Cu</t>
  </si>
  <si>
    <t>Fe</t>
  </si>
  <si>
    <t>Mn</t>
  </si>
  <si>
    <t>CE</t>
  </si>
  <si>
    <t>C</t>
  </si>
  <si>
    <t>N</t>
  </si>
  <si>
    <t>C/N</t>
  </si>
  <si>
    <t>ID USUARIO</t>
  </si>
  <si>
    <t>ID LAB</t>
  </si>
  <si>
    <t>5,5</t>
  </si>
  <si>
    <t>0,5</t>
  </si>
  <si>
    <t>0,2</t>
  </si>
  <si>
    <t>1,5</t>
  </si>
  <si>
    <t>PIÑA 8 (SENEN MURILLO)</t>
  </si>
  <si>
    <t>S-26-05173</t>
  </si>
  <si>
    <t>-----------------------------ÚLTIMA LÍNEA-----------------------------</t>
  </si>
  <si>
    <t>Los valores debajo de cada elemento corresponden con los Niveles Críticos generales para la solución extractora usada</t>
  </si>
  <si>
    <t>CICE=Capacidad de intercambio de Cationes Efectiva=Acidez+Ca+Mg+K                                            SA=Porcentaje de Saturación de Acidez=(Acidez/CICE)*100</t>
  </si>
  <si>
    <t/>
  </si>
  <si>
    <t>CIUDAD DE LA INVESTIGACIÓN, UCR</t>
  </si>
  <si>
    <t>Interpretación Análisis Químico Suelos*</t>
  </si>
  <si>
    <r>
      <t>RE-R03(v2)</t>
    </r>
    <r>
      <rPr>
        <b/>
        <vertAlign val="superscript"/>
        <sz val="12"/>
        <rFont val="Arial"/>
        <family val="2"/>
      </rPr>
      <t>1</t>
    </r>
  </si>
  <si>
    <t>TELÉFONO: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</si>
  <si>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</si>
  <si>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ACIDEZ</t>
  </si>
  <si>
    <t>Relaciones entre bases</t>
  </si>
  <si>
    <t>Ca/Mg</t>
  </si>
  <si>
    <t>(Ca+Mg)/K</t>
  </si>
  <si>
    <t>Ca/K</t>
  </si>
  <si>
    <t>Mg/K</t>
  </si>
  <si>
    <t>2-5</t>
  </si>
  <si>
    <t>10-40</t>
  </si>
  <si>
    <t>5-25</t>
  </si>
  <si>
    <t>2,5-15</t>
  </si>
  <si>
    <t xml:space="preserve">--------------------------------------------------------------------------------------------------------------------------------------- ÚLTIMA LÍNEA --------------------------------------------------------------------------------------------------------------------------------------- 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</si>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</sst>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vertAlign val="superscript"/>
      <sz val="12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vertAlign val="subscript"/>
      <sz val="10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70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7" fillId="0" borderId="0" xfId="1" applyAlignment="1"/>
    <xf numFmtId="0" fontId="7" fillId="2" borderId="0" xfId="1" applyFill="1" applyAlignment="1"/>
    <xf numFmtId="0" fontId="4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0" fontId="2" fillId="2" borderId="0" xfId="0" applyFont="1" applyFill="1" applyAlignment="1">
      <alignment vertical="top" wrapText="1" readingOrder="1"/>
    </xf>
    <xf numFmtId="0" fontId="6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7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7" fillId="2" borderId="10" xfId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7" fillId="0" borderId="2" xfId="0" applyNumberFormat="1" applyFont="1" applyBorder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4" fontId="7" fillId="3" borderId="0" xfId="0" applyNumberFormat="1" applyFont="1" applyFill="1" applyAlignment="1" applyProtection="1">
      <alignment horizontal="center"/>
      <protection locked="0"/>
    </xf>
    <xf numFmtId="1" fontId="7" fillId="0" borderId="11" xfId="0" applyNumberFormat="1" applyFont="1" applyBorder="1" applyAlignment="1" applyProtection="1">
      <alignment horizontal="center"/>
      <protection locked="0"/>
    </xf>
    <xf numFmtId="2" fontId="7" fillId="0" borderId="8" xfId="0" applyNumberFormat="1" applyFont="1" applyBorder="1" applyAlignment="1" applyProtection="1">
      <alignment horizontal="center"/>
      <protection locked="0"/>
    </xf>
    <xf numFmtId="2" fontId="7" fillId="0" borderId="11" xfId="0" applyNumberFormat="1" applyFont="1" applyBorder="1" applyAlignment="1" applyProtection="1">
      <alignment horizontal="center"/>
      <protection locked="0"/>
    </xf>
    <xf numFmtId="49" fontId="19" fillId="2" borderId="0" xfId="1" applyNumberFormat="1" applyFont="1" applyFill="1" applyAlignment="1">
      <alignment horizontal="left"/>
    </xf>
    <xf numFmtId="0" fontId="18" fillId="2" borderId="0" xfId="1" applyFont="1" applyFill="1" applyAlignment="1">
      <alignment horizontal="center"/>
    </xf>
    <xf numFmtId="164" fontId="7" fillId="2" borderId="0" xfId="1" applyNumberFormat="1" applyFill="1" applyAlignment="1">
      <alignment horizontal="center"/>
    </xf>
    <xf numFmtId="2" fontId="7" fillId="2" borderId="0" xfId="1" applyNumberFormat="1" applyFill="1" applyAlignment="1">
      <alignment horizontal="center"/>
    </xf>
    <xf numFmtId="2" fontId="21" fillId="2" borderId="0" xfId="1" applyNumberFormat="1" applyFont="1" applyFill="1" applyAlignment="1">
      <alignment horizontal="center"/>
    </xf>
    <xf numFmtId="2" fontId="7" fillId="2" borderId="0" xfId="1" applyNumberFormat="1" applyFill="1" applyAlignment="1"/>
    <xf numFmtId="1" fontId="21" fillId="2" borderId="0" xfId="1" applyNumberFormat="1" applyFont="1" applyFill="1" applyAlignment="1">
      <alignment horizontal="center"/>
    </xf>
    <xf numFmtId="1" fontId="7" fillId="2" borderId="0" xfId="1" applyNumberForma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49" fontId="6" fillId="2" borderId="9" xfId="1" applyNumberFormat="1" applyFont="1" applyFill="1" applyBorder="1" applyAlignment="1">
      <alignment horizontal="center" vertical="center"/>
    </xf>
    <xf numFmtId="164" fontId="7" fillId="2" borderId="5" xfId="1" applyNumberFormat="1" applyFill="1" applyBorder="1" applyAlignment="1">
      <alignment horizontal="center" vertical="center"/>
    </xf>
    <xf numFmtId="164" fontId="22" fillId="4" borderId="6" xfId="1" applyNumberFormat="1" applyFont="1" applyFill="1" applyBorder="1" applyAlignment="1">
      <alignment horizontal="center" vertical="center"/>
    </xf>
    <xf numFmtId="164" fontId="7" fillId="2" borderId="7" xfId="1" applyNumberFormat="1" applyFill="1" applyBorder="1" applyAlignment="1">
      <alignment horizontal="center" vertical="center"/>
    </xf>
    <xf numFmtId="164" fontId="7" fillId="2" borderId="0" xfId="1" applyNumberForma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 vertical="top" wrapText="1" readingOrder="1"/>
    </xf>
    <xf numFmtId="0" fontId="15" fillId="0" borderId="6" xfId="0" applyFont="1" applyBorder="1" applyAlignment="1">
      <alignment horizontal="left" vertical="top" wrapText="1" readingOrder="1"/>
    </xf>
    <xf numFmtId="0" fontId="15" fillId="0" borderId="7" xfId="0" applyFont="1" applyBorder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49" fontId="2" fillId="0" borderId="0" xfId="0" applyNumberFormat="1" applyFont="1" applyAlignment="1">
      <alignment horizontal="center" vertical="center" wrapText="1" readingOrder="1"/>
    </xf>
    <xf numFmtId="49" fontId="1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23" fillId="0" borderId="0" xfId="0" applyNumberFormat="1" applyFont="1" applyAlignment="1">
      <alignment horizontal="left" vertical="top" wrapText="1" readingOrder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11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2" fillId="0" borderId="13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5" fillId="0" borderId="1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top" wrapText="1" readingOrder="1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5" xfId="0" applyFont="1" applyBorder="1" applyAlignment="1">
      <alignment horizontal="center" vertical="top" wrapText="1" readingOrder="1"/>
    </xf>
    <xf numFmtId="0" fontId="9" fillId="0" borderId="6" xfId="0" applyFont="1" applyBorder="1" applyAlignment="1">
      <alignment horizontal="center" vertical="top" wrapText="1" readingOrder="1"/>
    </xf>
    <xf numFmtId="0" fontId="9" fillId="0" borderId="7" xfId="0" applyFont="1" applyBorder="1" applyAlignment="1">
      <alignment horizontal="center" vertical="top" wrapText="1" readingOrder="1"/>
    </xf>
    <xf numFmtId="49" fontId="0" fillId="0" borderId="0" xfId="0" applyNumberFormat="1" applyAlignment="1">
      <alignment horizontal="center" vertical="top"/>
    </xf>
    <xf numFmtId="49" fontId="7" fillId="2" borderId="0" xfId="0" applyNumberFormat="1" applyFont="1" applyFill="1" applyAlignment="1">
      <alignment horizontal="left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49" fontId="2" fillId="2" borderId="0" xfId="0" applyNumberFormat="1" applyFont="1" applyFill="1" applyAlignment="1">
      <alignment horizontal="left" vertical="top" wrapText="1" readingOrder="1"/>
    </xf>
    <xf numFmtId="49" fontId="7" fillId="2" borderId="0" xfId="0" applyNumberFormat="1" applyFont="1" applyFill="1" applyAlignment="1">
      <alignment horizontal="left" vertical="top"/>
    </xf>
    <xf numFmtId="0" fontId="7" fillId="2" borderId="0" xfId="0" applyFont="1" applyFill="1" applyAlignment="1">
      <alignment horizontal="left"/>
    </xf>
    <xf numFmtId="49" fontId="7" fillId="2" borderId="0" xfId="1" applyNumberFormat="1" applyFill="1" applyAlignment="1" applyProtection="1">
      <alignment horizontal="center"/>
      <protection locked="0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7" fillId="2" borderId="8" xfId="1" applyFill="1" applyBorder="1" applyAlignment="1">
      <alignment horizontal="left"/>
    </xf>
    <xf numFmtId="0" fontId="7" fillId="2" borderId="12" xfId="1" applyFill="1" applyBorder="1" applyAlignment="1">
      <alignment horizontal="left"/>
    </xf>
    <xf numFmtId="0" fontId="7" fillId="2" borderId="11" xfId="1" applyFill="1" applyBorder="1" applyAlignment="1">
      <alignment horizontal="left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left" vertical="top" wrapText="1" readingOrder="1"/>
    </xf>
    <xf numFmtId="0" fontId="15" fillId="2" borderId="6" xfId="1" applyFont="1" applyFill="1" applyBorder="1" applyAlignment="1">
      <alignment horizontal="left" vertical="top" wrapText="1" readingOrder="1"/>
    </xf>
    <xf numFmtId="0" fontId="15" fillId="2" borderId="7" xfId="1" applyFont="1" applyFill="1" applyBorder="1" applyAlignment="1">
      <alignment horizontal="left" vertical="top" wrapText="1" readingOrder="1"/>
    </xf>
    <xf numFmtId="0" fontId="6" fillId="2" borderId="5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49" fontId="18" fillId="0" borderId="8" xfId="0" applyNumberFormat="1" applyFont="1" applyBorder="1" applyAlignment="1">
      <alignment horizontal="left"/>
    </xf>
    <xf numFmtId="49" fontId="18" fillId="0" borderId="12" xfId="0" applyNumberFormat="1" applyFont="1" applyBorder="1" applyAlignment="1">
      <alignment horizontal="left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</cellXfs>
  <cellStyles count="2">
    <cellStyle name="Normal" xfId="0" builtinId="0"/>
    <cellStyle name="Normal 2" xfId="1" xr:uid="{BDC15CC6-CAE0-4227-8FD4-8ABB9AB440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E3F1DF2A-B0B8-E6EF-ADA8-06C8E303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C5CA6399-2E27-01BD-8D8A-7BE11A37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508488</xdr:colOff>
      <xdr:row>26</xdr:row>
      <xdr:rowOff>112102</xdr:rowOff>
    </xdr:from>
    <xdr:to>
      <xdr:col>19</xdr:col>
      <xdr:colOff>181708</xdr:colOff>
      <xdr:row>32</xdr:row>
      <xdr:rowOff>8059</xdr:rowOff>
    </xdr:to>
    <xdr:grpSp>
      <xdr:nvGrpSpPr>
        <xdr:cNvPr id="20899" name="Grupo 15">
          <a:extLst>
            <a:ext uri="{FF2B5EF4-FFF2-40B4-BE49-F238E27FC236}">
              <a16:creationId xmlns:a16="http://schemas.microsoft.com/office/drawing/2014/main" id="{949DF6CB-55D6-1EC1-0693-59CA5C7F2BF2}"/>
            </a:ext>
          </a:extLst>
        </xdr:cNvPr>
        <xdr:cNvGrpSpPr>
          <a:grpSpLocks/>
        </xdr:cNvGrpSpPr>
      </xdr:nvGrpSpPr>
      <xdr:grpSpPr bwMode="auto">
        <a:xfrm>
          <a:off x="1863969" y="4889256"/>
          <a:ext cx="5146431" cy="1038957"/>
          <a:chOff x="2708412" y="7745980"/>
          <a:chExt cx="4030159" cy="963533"/>
        </a:xfrm>
      </xdr:grpSpPr>
      <xdr:pic>
        <xdr:nvPicPr>
          <xdr:cNvPr id="20903" name="Imagen 16">
            <a:extLst>
              <a:ext uri="{FF2B5EF4-FFF2-40B4-BE49-F238E27FC236}">
                <a16:creationId xmlns:a16="http://schemas.microsoft.com/office/drawing/2014/main" id="{5EB31CE4-B6AE-B41D-08D9-746A7C58F4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904" name="Picture 47">
            <a:extLst>
              <a:ext uri="{FF2B5EF4-FFF2-40B4-BE49-F238E27FC236}">
                <a16:creationId xmlns:a16="http://schemas.microsoft.com/office/drawing/2014/main" id="{3DC98B43-C67C-F6F4-65E3-A72A3B6737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283FC2D7-2E39-9ACE-4908-009082E22723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ED8B37C6-2608-CC27-E222-A972185C2CB0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42</xdr:row>
      <xdr:rowOff>7327</xdr:rowOff>
    </xdr:from>
    <xdr:to>
      <xdr:col>23</xdr:col>
      <xdr:colOff>241788</xdr:colOff>
      <xdr:row>46</xdr:row>
      <xdr:rowOff>47994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CA1D3F74-7754-3B41-BF6E-F14AD0E0FD74}"/>
            </a:ext>
          </a:extLst>
        </xdr:cNvPr>
        <xdr:cNvSpPr txBox="1">
          <a:spLocks noChangeArrowheads="1"/>
        </xdr:cNvSpPr>
      </xdr:nvSpPr>
      <xdr:spPr bwMode="auto">
        <a:xfrm>
          <a:off x="0" y="7751885"/>
          <a:ext cx="795703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57150</xdr:colOff>
      <xdr:row>38</xdr:row>
      <xdr:rowOff>114300</xdr:rowOff>
    </xdr:from>
    <xdr:to>
      <xdr:col>27</xdr:col>
      <xdr:colOff>133350</xdr:colOff>
      <xdr:row>44</xdr:row>
      <xdr:rowOff>51289</xdr:rowOff>
    </xdr:to>
    <xdr:pic>
      <xdr:nvPicPr>
        <xdr:cNvPr id="20901" name="Imagen 2">
          <a:extLst>
            <a:ext uri="{FF2B5EF4-FFF2-40B4-BE49-F238E27FC236}">
              <a16:creationId xmlns:a16="http://schemas.microsoft.com/office/drawing/2014/main" id="{AA033236-5C67-4D4C-A6BC-7FFAD5EB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7267575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44</xdr:row>
      <xdr:rowOff>80597</xdr:rowOff>
    </xdr:from>
    <xdr:to>
      <xdr:col>27</xdr:col>
      <xdr:colOff>271095</xdr:colOff>
      <xdr:row>45</xdr:row>
      <xdr:rowOff>142397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893820-0031-6A59-D7FD-388014D8EDFE}"/>
            </a:ext>
          </a:extLst>
        </xdr:cNvPr>
        <xdr:cNvSpPr txBox="1"/>
      </xdr:nvSpPr>
      <xdr:spPr>
        <a:xfrm>
          <a:off x="7920403" y="8147539"/>
          <a:ext cx="1296865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5691" name="11 Imagen" descr="CIA Identificador compuesto.png">
          <a:extLst>
            <a:ext uri="{FF2B5EF4-FFF2-40B4-BE49-F238E27FC236}">
              <a16:creationId xmlns:a16="http://schemas.microsoft.com/office/drawing/2014/main" id="{658B233F-2737-DAB8-F0FA-FDFE581A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5692" name="12 Imagen">
          <a:extLst>
            <a:ext uri="{FF2B5EF4-FFF2-40B4-BE49-F238E27FC236}">
              <a16:creationId xmlns:a16="http://schemas.microsoft.com/office/drawing/2014/main" id="{76B05D98-0D24-8FA9-C846-9EDE64B3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37</xdr:row>
      <xdr:rowOff>104775</xdr:rowOff>
    </xdr:from>
    <xdr:to>
      <xdr:col>20</xdr:col>
      <xdr:colOff>152400</xdr:colOff>
      <xdr:row>43</xdr:row>
      <xdr:rowOff>0</xdr:rowOff>
    </xdr:to>
    <xdr:grpSp>
      <xdr:nvGrpSpPr>
        <xdr:cNvPr id="25693" name="Grupo 15">
          <a:extLst>
            <a:ext uri="{FF2B5EF4-FFF2-40B4-BE49-F238E27FC236}">
              <a16:creationId xmlns:a16="http://schemas.microsoft.com/office/drawing/2014/main" id="{8E73B73D-C92F-A255-278D-6C509C505EB0}"/>
            </a:ext>
          </a:extLst>
        </xdr:cNvPr>
        <xdr:cNvGrpSpPr>
          <a:grpSpLocks/>
        </xdr:cNvGrpSpPr>
      </xdr:nvGrpSpPr>
      <xdr:grpSpPr bwMode="auto">
        <a:xfrm>
          <a:off x="2318238" y="7043371"/>
          <a:ext cx="4670181" cy="862379"/>
          <a:chOff x="2708412" y="7745980"/>
          <a:chExt cx="4030159" cy="963533"/>
        </a:xfrm>
      </xdr:grpSpPr>
      <xdr:pic>
        <xdr:nvPicPr>
          <xdr:cNvPr id="25697" name="Imagen 16">
            <a:extLst>
              <a:ext uri="{FF2B5EF4-FFF2-40B4-BE49-F238E27FC236}">
                <a16:creationId xmlns:a16="http://schemas.microsoft.com/office/drawing/2014/main" id="{EF2ACEC1-F14F-AD51-247B-C4C23EA4EF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5698" name="Picture 47">
            <a:extLst>
              <a:ext uri="{FF2B5EF4-FFF2-40B4-BE49-F238E27FC236}">
                <a16:creationId xmlns:a16="http://schemas.microsoft.com/office/drawing/2014/main" id="{2700BB94-4E4E-8D9F-A1D6-4EB2E5B14A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A2A4B208-440B-1C77-8102-95D4DEF66B06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0" name="12 CuadroTexto">
            <a:extLst>
              <a:ext uri="{FF2B5EF4-FFF2-40B4-BE49-F238E27FC236}">
                <a16:creationId xmlns:a16="http://schemas.microsoft.com/office/drawing/2014/main" id="{37340F41-806A-1157-D1AF-BCD97E3710FA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41</xdr:row>
      <xdr:rowOff>131885</xdr:rowOff>
    </xdr:from>
    <xdr:to>
      <xdr:col>23</xdr:col>
      <xdr:colOff>146538</xdr:colOff>
      <xdr:row>46</xdr:row>
      <xdr:rowOff>11359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ABE0F95-1F2D-E599-0AB1-A3F1ED603313}"/>
            </a:ext>
          </a:extLst>
        </xdr:cNvPr>
        <xdr:cNvSpPr txBox="1">
          <a:spLocks noChangeArrowheads="1"/>
        </xdr:cNvSpPr>
      </xdr:nvSpPr>
      <xdr:spPr bwMode="auto">
        <a:xfrm>
          <a:off x="0" y="7715250"/>
          <a:ext cx="786178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47625</xdr:colOff>
      <xdr:row>37</xdr:row>
      <xdr:rowOff>152400</xdr:rowOff>
    </xdr:from>
    <xdr:to>
      <xdr:col>27</xdr:col>
      <xdr:colOff>123825</xdr:colOff>
      <xdr:row>44</xdr:row>
      <xdr:rowOff>38100</xdr:rowOff>
    </xdr:to>
    <xdr:pic>
      <xdr:nvPicPr>
        <xdr:cNvPr id="25695" name="Imagen 1">
          <a:extLst>
            <a:ext uri="{FF2B5EF4-FFF2-40B4-BE49-F238E27FC236}">
              <a16:creationId xmlns:a16="http://schemas.microsoft.com/office/drawing/2014/main" id="{6A3C9D9D-D5F0-A32F-486D-DFEFDF56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7143750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43</xdr:row>
      <xdr:rowOff>124558</xdr:rowOff>
    </xdr:from>
    <xdr:to>
      <xdr:col>27</xdr:col>
      <xdr:colOff>278422</xdr:colOff>
      <xdr:row>45</xdr:row>
      <xdr:rowOff>25166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32E12A-17F7-5DF7-ADE6-43CB59FDD71C}"/>
            </a:ext>
          </a:extLst>
        </xdr:cNvPr>
        <xdr:cNvSpPr txBox="1"/>
      </xdr:nvSpPr>
      <xdr:spPr>
        <a:xfrm>
          <a:off x="7920403" y="8030308"/>
          <a:ext cx="1304192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27</xdr:row>
      <xdr:rowOff>0</xdr:rowOff>
    </xdr:from>
    <xdr:to>
      <xdr:col>19</xdr:col>
      <xdr:colOff>561974</xdr:colOff>
      <xdr:row>40</xdr:row>
      <xdr:rowOff>28575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5540604F-0FB9-3AE4-933C-FC081F7F7C39}"/>
            </a:ext>
          </a:extLst>
        </xdr:cNvPr>
        <xdr:cNvSpPr txBox="1"/>
      </xdr:nvSpPr>
      <xdr:spPr>
        <a:xfrm>
          <a:off x="171449" y="4800600"/>
          <a:ext cx="11068050" cy="21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Puede contactarse al 2511-2079 o bien al correo</a:t>
          </a:r>
          <a:r>
            <a:rPr lang="es-CR" sz="1100" baseline="0">
              <a:solidFill>
                <a:sysClr val="windowText" lastClr="000000"/>
              </a:solidFill>
            </a:rPr>
            <a:t>: gestoriatecnica.lsf@ucr.ac.cr/juancarlos.mendez@ucr.ac.cr </a:t>
          </a:r>
          <a:r>
            <a:rPr lang="es-CR" sz="1100" baseline="0"/>
            <a:t>para más información o dudas al respecto.</a:t>
          </a:r>
        </a:p>
        <a:p>
          <a:r>
            <a:rPr lang="es-CR" sz="1100" baseline="0"/>
            <a:t>Saludos cordiales.</a:t>
          </a:r>
        </a:p>
        <a:p>
          <a:endParaRPr lang="es-CR" sz="1100" baseline="0"/>
        </a:p>
      </xdr:txBody>
    </xdr:sp>
    <xdr:clientData/>
  </xdr:twoCellAnchor>
  <xdr:twoCellAnchor>
    <xdr:from>
      <xdr:col>0</xdr:col>
      <xdr:colOff>180975</xdr:colOff>
      <xdr:row>49</xdr:row>
      <xdr:rowOff>57150</xdr:rowOff>
    </xdr:from>
    <xdr:to>
      <xdr:col>10</xdr:col>
      <xdr:colOff>428625</xdr:colOff>
      <xdr:row>50</xdr:row>
      <xdr:rowOff>76200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E5B691A-DF1B-19FC-92A7-75525940C779}"/>
            </a:ext>
          </a:extLst>
        </xdr:cNvPr>
        <xdr:cNvSpPr txBox="1">
          <a:spLocks noChangeArrowheads="1"/>
        </xdr:cNvSpPr>
      </xdr:nvSpPr>
      <xdr:spPr bwMode="auto">
        <a:xfrm>
          <a:off x="180975" y="8448675"/>
          <a:ext cx="5867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</xdr:col>
      <xdr:colOff>557528</xdr:colOff>
      <xdr:row>48</xdr:row>
      <xdr:rowOff>91223</xdr:rowOff>
    </xdr:from>
    <xdr:to>
      <xdr:col>10</xdr:col>
      <xdr:colOff>200024</xdr:colOff>
      <xdr:row>52</xdr:row>
      <xdr:rowOff>3</xdr:rowOff>
    </xdr:to>
    <xdr:sp macro="" textlink="">
      <xdr:nvSpPr>
        <xdr:cNvPr id="4" name="12 CuadroTexto">
          <a:extLst>
            <a:ext uri="{FF2B5EF4-FFF2-40B4-BE49-F238E27FC236}">
              <a16:creationId xmlns:a16="http://schemas.microsoft.com/office/drawing/2014/main" id="{994E429A-341F-6A34-B690-DF8C17FC3E3A}"/>
            </a:ext>
          </a:extLst>
        </xdr:cNvPr>
        <xdr:cNvSpPr txBox="1"/>
      </xdr:nvSpPr>
      <xdr:spPr bwMode="auto">
        <a:xfrm>
          <a:off x="3367403" y="8320823"/>
          <a:ext cx="2452371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17</xdr:col>
      <xdr:colOff>228600</xdr:colOff>
      <xdr:row>0</xdr:row>
      <xdr:rowOff>66675</xdr:rowOff>
    </xdr:from>
    <xdr:to>
      <xdr:col>20</xdr:col>
      <xdr:colOff>57150</xdr:colOff>
      <xdr:row>3</xdr:row>
      <xdr:rowOff>95250</xdr:rowOff>
    </xdr:to>
    <xdr:pic>
      <xdr:nvPicPr>
        <xdr:cNvPr id="26633" name="4 Imagen">
          <a:extLst>
            <a:ext uri="{FF2B5EF4-FFF2-40B4-BE49-F238E27FC236}">
              <a16:creationId xmlns:a16="http://schemas.microsoft.com/office/drawing/2014/main" id="{92B31F78-F481-724B-63AD-44DC1779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10267950" y="66675"/>
          <a:ext cx="16002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104775</xdr:rowOff>
    </xdr:from>
    <xdr:to>
      <xdr:col>3</xdr:col>
      <xdr:colOff>28575</xdr:colOff>
      <xdr:row>3</xdr:row>
      <xdr:rowOff>142875</xdr:rowOff>
    </xdr:to>
    <xdr:pic>
      <xdr:nvPicPr>
        <xdr:cNvPr id="26634" name="3 Imagen">
          <a:extLst>
            <a:ext uri="{FF2B5EF4-FFF2-40B4-BE49-F238E27FC236}">
              <a16:creationId xmlns:a16="http://schemas.microsoft.com/office/drawing/2014/main" id="{62B126D7-A87A-1292-AFFA-6716FBBA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123825" y="104775"/>
          <a:ext cx="16764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9E44-2F41-4B6F-9476-A856CD3837A8}">
  <sheetPr>
    <pageSetUpPr fitToPage="1"/>
  </sheetPr>
  <dimension ref="A1:AB461"/>
  <sheetViews>
    <sheetView tabSelected="1" topLeftCell="A10" zoomScale="130" zoomScaleNormal="130" workbookViewId="0">
      <selection activeCell="B14" sqref="B14:AB14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5" width="4.42578125" style="1" customWidth="1"/>
    <col min="6" max="6" width="6.28515625" style="1" customWidth="1"/>
    <col min="7" max="9" width="4.42578125" style="1" customWidth="1"/>
    <col min="10" max="10" width="5.5703125" style="1" customWidth="1"/>
    <col min="11" max="13" width="5.42578125" style="1" customWidth="1"/>
    <col min="14" max="16" width="4.42578125" style="1" customWidth="1"/>
    <col min="17" max="17" width="5.5703125" style="1" customWidth="1"/>
    <col min="18" max="19" width="4.42578125" style="1" customWidth="1"/>
    <col min="20" max="20" width="7.28515625" style="1" customWidth="1"/>
    <col min="21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0.25" customHeight="1" x14ac:dyDescent="0.3">
      <c r="A8" s="20" t="s">
        <v>4</v>
      </c>
      <c r="B8" s="121" t="s">
        <v>5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</row>
    <row r="9" spans="1:28" ht="18" customHeight="1" x14ac:dyDescent="0.2">
      <c r="A9" s="21" t="s">
        <v>6</v>
      </c>
      <c r="B9" s="95" t="s">
        <v>7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97" t="s">
        <v>9</v>
      </c>
      <c r="C11" s="98"/>
      <c r="D11" s="98"/>
      <c r="E11" s="98"/>
      <c r="F11" s="98"/>
      <c r="G11" s="98"/>
      <c r="H11" s="98"/>
      <c r="I11" s="98"/>
      <c r="J11" s="98"/>
      <c r="K11" s="103" t="s">
        <v>10</v>
      </c>
      <c r="L11" s="103"/>
      <c r="M11" s="103"/>
      <c r="N11" s="106" t="s">
        <v>11</v>
      </c>
      <c r="O11" s="98"/>
      <c r="P11" s="98"/>
      <c r="Q11" s="98"/>
      <c r="R11" s="98"/>
      <c r="S11" s="98"/>
      <c r="T11" s="98"/>
      <c r="U11" s="26" t="s">
        <v>12</v>
      </c>
      <c r="V11" s="24"/>
      <c r="W11" s="3"/>
      <c r="X11" s="3"/>
      <c r="Y11" s="3"/>
      <c r="Z11" s="106" t="s">
        <v>13</v>
      </c>
      <c r="AA11" s="98"/>
      <c r="AB11" s="98"/>
    </row>
    <row r="12" spans="1:28" ht="12.75" customHeight="1" x14ac:dyDescent="0.2">
      <c r="A12" s="25" t="s">
        <v>14</v>
      </c>
      <c r="B12" s="110" t="s">
        <v>15</v>
      </c>
      <c r="C12" s="103"/>
      <c r="D12" s="103"/>
      <c r="E12" s="103"/>
      <c r="F12" s="103"/>
      <c r="G12" s="103"/>
      <c r="H12" s="103"/>
      <c r="I12" s="103"/>
      <c r="J12" s="103"/>
      <c r="K12" s="116" t="s">
        <v>16</v>
      </c>
      <c r="L12" s="116"/>
      <c r="M12" s="116"/>
      <c r="N12" s="103" t="s">
        <v>17</v>
      </c>
      <c r="O12" s="103"/>
      <c r="P12" s="103"/>
      <c r="Q12" s="103"/>
      <c r="R12" s="103"/>
      <c r="S12" s="103"/>
      <c r="T12" s="103"/>
      <c r="U12" s="26" t="s">
        <v>18</v>
      </c>
      <c r="V12" s="3"/>
      <c r="W12" s="27"/>
      <c r="X12" s="27"/>
      <c r="Y12" s="27"/>
      <c r="Z12" s="106" t="s">
        <v>19</v>
      </c>
      <c r="AA12" s="98"/>
      <c r="AB12" s="98"/>
    </row>
    <row r="13" spans="1:28" ht="12.75" customHeight="1" x14ac:dyDescent="0.2">
      <c r="A13" s="25" t="s">
        <v>20</v>
      </c>
      <c r="B13" s="117" t="s">
        <v>21</v>
      </c>
      <c r="C13" s="116"/>
      <c r="D13" s="116"/>
      <c r="E13" s="116"/>
      <c r="F13" s="116"/>
      <c r="G13" s="116"/>
      <c r="H13" s="116"/>
      <c r="I13" s="116"/>
      <c r="J13" s="116"/>
      <c r="K13" s="119" t="s">
        <v>22</v>
      </c>
      <c r="L13" s="119"/>
      <c r="M13" s="119"/>
      <c r="N13" s="115" t="s">
        <v>81</v>
      </c>
      <c r="O13" s="116"/>
      <c r="P13" s="116"/>
      <c r="Q13" s="116"/>
      <c r="R13" s="116"/>
      <c r="S13" s="116"/>
      <c r="T13" s="116"/>
      <c r="U13" s="28" t="s">
        <v>23</v>
      </c>
      <c r="V13" s="3"/>
      <c r="W13" s="3"/>
      <c r="X13" s="3"/>
      <c r="Y13" s="3"/>
      <c r="Z13" s="106" t="s">
        <v>24</v>
      </c>
      <c r="AA13" s="98"/>
      <c r="AB13" s="98"/>
    </row>
    <row r="14" spans="1:28" ht="12" customHeight="1" x14ac:dyDescent="0.2">
      <c r="A14" s="25" t="s">
        <v>25</v>
      </c>
      <c r="B14" s="110" t="s">
        <v>26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ht="23.1" customHeight="1" x14ac:dyDescent="0.25">
      <c r="A15" s="124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6"/>
      <c r="V15" s="4"/>
    </row>
    <row r="16" spans="1:28" ht="15" customHeight="1" x14ac:dyDescent="0.2">
      <c r="A16" s="107" t="s">
        <v>28</v>
      </c>
      <c r="B16" s="108"/>
      <c r="C16" s="108"/>
      <c r="D16" s="109"/>
      <c r="E16" s="72" t="s">
        <v>29</v>
      </c>
      <c r="F16" s="111" t="s">
        <v>30</v>
      </c>
      <c r="G16" s="112"/>
      <c r="H16" s="112"/>
      <c r="I16" s="112"/>
      <c r="J16" s="113"/>
      <c r="K16" s="78" t="s">
        <v>31</v>
      </c>
      <c r="L16" s="111" t="s">
        <v>32</v>
      </c>
      <c r="M16" s="112"/>
      <c r="N16" s="112"/>
      <c r="O16" s="112"/>
      <c r="P16" s="113"/>
      <c r="Q16" s="83" t="s">
        <v>33</v>
      </c>
      <c r="R16" s="111" t="s">
        <v>31</v>
      </c>
      <c r="S16" s="113"/>
      <c r="T16" s="83" t="s">
        <v>34</v>
      </c>
      <c r="U16" s="12"/>
      <c r="V16" s="13"/>
      <c r="W16" s="13"/>
      <c r="X16" s="12"/>
      <c r="Y16" s="12"/>
      <c r="Z16" s="12"/>
      <c r="AA16" s="12"/>
      <c r="AB16" s="12"/>
    </row>
    <row r="17" spans="1:28" ht="18" customHeight="1" x14ac:dyDescent="0.2">
      <c r="A17" s="100" t="s">
        <v>35</v>
      </c>
      <c r="B17" s="101"/>
      <c r="C17" s="101"/>
      <c r="D17" s="102"/>
      <c r="E17" s="73" t="s">
        <v>36</v>
      </c>
      <c r="F17" s="74" t="s">
        <v>37</v>
      </c>
      <c r="G17" s="76" t="s">
        <v>38</v>
      </c>
      <c r="H17" s="76" t="s">
        <v>39</v>
      </c>
      <c r="I17" s="76" t="s">
        <v>40</v>
      </c>
      <c r="J17" s="76" t="s">
        <v>41</v>
      </c>
      <c r="K17" s="80" t="s">
        <v>42</v>
      </c>
      <c r="L17" s="72" t="s">
        <v>43</v>
      </c>
      <c r="M17" s="76" t="s">
        <v>44</v>
      </c>
      <c r="N17" s="76" t="s">
        <v>45</v>
      </c>
      <c r="O17" s="76" t="s">
        <v>46</v>
      </c>
      <c r="P17" s="76" t="s">
        <v>47</v>
      </c>
      <c r="Q17" s="73" t="s">
        <v>48</v>
      </c>
      <c r="R17" s="79" t="s">
        <v>49</v>
      </c>
      <c r="S17" s="82" t="s">
        <v>50</v>
      </c>
      <c r="T17" s="73" t="s">
        <v>51</v>
      </c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73" t="s">
        <v>54</v>
      </c>
      <c r="F18" s="75" t="s">
        <v>55</v>
      </c>
      <c r="G18" s="77">
        <v>4</v>
      </c>
      <c r="H18" s="77">
        <v>1</v>
      </c>
      <c r="I18" s="77" t="s">
        <v>56</v>
      </c>
      <c r="J18" s="77">
        <v>5</v>
      </c>
      <c r="K18" s="81"/>
      <c r="L18" s="75">
        <v>10</v>
      </c>
      <c r="M18" s="77">
        <v>3</v>
      </c>
      <c r="N18" s="77">
        <v>1</v>
      </c>
      <c r="O18" s="77">
        <v>10</v>
      </c>
      <c r="P18" s="77">
        <v>5</v>
      </c>
      <c r="Q18" s="73" t="s">
        <v>57</v>
      </c>
      <c r="R18" s="75"/>
      <c r="S18" s="82"/>
      <c r="T18" s="73"/>
      <c r="U18" s="12"/>
      <c r="V18" s="13"/>
      <c r="W18" s="13"/>
      <c r="X18" s="12"/>
      <c r="Y18" s="12"/>
      <c r="Z18" s="12"/>
      <c r="AA18" s="12"/>
      <c r="AB18" s="12"/>
    </row>
    <row r="19" spans="1:28" ht="15.95" customHeight="1" x14ac:dyDescent="0.2">
      <c r="A19" s="122" t="s">
        <v>58</v>
      </c>
      <c r="B19" s="123"/>
      <c r="C19" s="123"/>
      <c r="D19" s="88" t="s">
        <v>59</v>
      </c>
      <c r="E19" s="89">
        <v>4.4000000000000004</v>
      </c>
      <c r="F19" s="85">
        <v>1.66</v>
      </c>
      <c r="G19" s="85">
        <v>1.71</v>
      </c>
      <c r="H19" s="85">
        <v>0.12</v>
      </c>
      <c r="I19" s="85">
        <v>0.12</v>
      </c>
      <c r="J19" s="86">
        <v>3.61</v>
      </c>
      <c r="K19" s="90">
        <v>46</v>
      </c>
      <c r="L19" s="87">
        <v>1</v>
      </c>
      <c r="M19" s="84">
        <v>4</v>
      </c>
      <c r="N19" s="87">
        <v>15</v>
      </c>
      <c r="O19" s="87">
        <v>173</v>
      </c>
      <c r="P19" s="91">
        <v>67</v>
      </c>
      <c r="Q19" s="89">
        <v>0.5</v>
      </c>
      <c r="R19" s="92">
        <v>2.93</v>
      </c>
      <c r="S19" s="93">
        <v>0.32</v>
      </c>
      <c r="T19" s="89">
        <v>9.1999999999999993</v>
      </c>
      <c r="U19" s="12"/>
      <c r="V19" s="13"/>
      <c r="W19" s="13"/>
      <c r="X19" s="12"/>
      <c r="Y19" s="12"/>
      <c r="Z19" s="12"/>
      <c r="AA19" s="12"/>
      <c r="AB19" s="12"/>
    </row>
    <row r="20" spans="1:28" ht="15.95" customHeight="1" x14ac:dyDescent="0.2">
      <c r="A20" s="128" t="s">
        <v>60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"/>
      <c r="V20" s="13"/>
      <c r="W20" s="13"/>
      <c r="X20" s="12"/>
      <c r="Y20" s="12"/>
      <c r="Z20" s="12"/>
      <c r="AA20" s="12"/>
      <c r="AB20" s="12"/>
    </row>
    <row r="21" spans="1:28" ht="15.95" customHeight="1" x14ac:dyDescent="0.2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95" customHeight="1" x14ac:dyDescent="0.2">
      <c r="A22" s="94" t="s">
        <v>61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12"/>
      <c r="V22" s="13"/>
      <c r="W22" s="13"/>
      <c r="X22" s="12"/>
      <c r="Y22" s="12"/>
      <c r="Z22" s="12"/>
      <c r="AA22" s="12"/>
      <c r="AB22" s="12"/>
    </row>
    <row r="23" spans="1:28" ht="15.95" customHeight="1" x14ac:dyDescent="0.2">
      <c r="A23" s="94" t="s">
        <v>62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12"/>
      <c r="V23" s="13"/>
      <c r="W23" s="13"/>
      <c r="X23" s="12"/>
      <c r="Y23" s="12"/>
      <c r="Z23" s="12"/>
      <c r="AA23" s="12"/>
      <c r="AB23" s="12"/>
    </row>
    <row r="24" spans="1:28" ht="15.95" customHeight="1" x14ac:dyDescent="0.2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95" customHeight="1" x14ac:dyDescent="0.2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95" customHeight="1" x14ac:dyDescent="0.2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9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9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9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95" customHeight="1" x14ac:dyDescent="0.2">
      <c r="A30" s="3"/>
      <c r="B30" s="3"/>
      <c r="C30" s="3"/>
      <c r="U30" s="12"/>
      <c r="V30" s="13"/>
      <c r="W30" s="13"/>
      <c r="X30" s="12"/>
      <c r="Y30" s="12"/>
      <c r="Z30" s="12"/>
      <c r="AA30" s="12"/>
      <c r="AB30" s="12"/>
    </row>
    <row r="31" spans="1:28" ht="12" customHeight="1" x14ac:dyDescent="0.2">
      <c r="A31" s="3"/>
      <c r="B31" s="3"/>
      <c r="C31" s="3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3"/>
      <c r="B32" s="3"/>
      <c r="C32" s="3"/>
      <c r="U32" s="12"/>
      <c r="V32" s="13"/>
      <c r="W32" s="13"/>
      <c r="X32" s="12"/>
      <c r="Y32" s="12"/>
      <c r="Z32" s="12"/>
      <c r="AA32" s="12"/>
      <c r="AB32" s="12"/>
    </row>
    <row r="33" spans="1:28" ht="12" customHeight="1" x14ac:dyDescent="0.2">
      <c r="A33" s="127" t="s">
        <v>63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U33" s="94"/>
      <c r="V33" s="94"/>
      <c r="W33" s="94"/>
      <c r="X33" s="94"/>
      <c r="Y33" s="94"/>
      <c r="Z33" s="94"/>
      <c r="AA33" s="94"/>
      <c r="AB33" s="94"/>
    </row>
    <row r="34" spans="1:28" ht="12" customHeight="1" x14ac:dyDescent="0.2">
      <c r="A34" s="127" t="s">
        <v>63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U34" s="94"/>
      <c r="V34" s="94"/>
      <c r="W34" s="94"/>
      <c r="X34" s="94"/>
      <c r="Y34" s="94"/>
      <c r="Z34" s="94"/>
      <c r="AA34" s="94"/>
      <c r="AB34" s="94"/>
    </row>
    <row r="35" spans="1:28" ht="15.95" customHeight="1" x14ac:dyDescent="0.2">
      <c r="A35" s="3"/>
      <c r="B35" s="3"/>
      <c r="C35" s="3"/>
      <c r="U35" s="12"/>
      <c r="V35" s="13"/>
      <c r="W35" s="13"/>
      <c r="X35" s="12"/>
      <c r="Y35" s="12"/>
      <c r="Z35" s="12"/>
      <c r="AA35" s="12"/>
      <c r="AB35" s="12"/>
    </row>
    <row r="36" spans="1:28" ht="15.95" customHeight="1" x14ac:dyDescent="0.2">
      <c r="A36" s="3"/>
      <c r="B36" s="3"/>
      <c r="C36" s="3"/>
      <c r="U36" s="12"/>
      <c r="V36" s="13"/>
      <c r="W36" s="13"/>
      <c r="X36" s="12"/>
      <c r="Y36" s="12"/>
      <c r="Z36" s="12"/>
      <c r="AA36" s="12"/>
      <c r="AB36" s="12"/>
    </row>
    <row r="37" spans="1:28" ht="15.95" customHeight="1" x14ac:dyDescent="0.2">
      <c r="A37" s="3"/>
      <c r="B37" s="3"/>
      <c r="C37" s="3"/>
      <c r="U37" s="12"/>
      <c r="V37" s="13"/>
      <c r="W37" s="13"/>
      <c r="X37" s="12"/>
      <c r="Y37" s="12"/>
      <c r="Z37" s="12"/>
      <c r="AA37" s="12"/>
      <c r="AB37" s="12"/>
    </row>
    <row r="38" spans="1:28" ht="15.95" customHeight="1" x14ac:dyDescent="0.2">
      <c r="A38" s="3"/>
      <c r="B38" s="3"/>
      <c r="C38" s="3"/>
      <c r="U38" s="12"/>
      <c r="V38" s="13"/>
      <c r="W38" s="13"/>
      <c r="X38" s="12"/>
      <c r="Y38" s="12"/>
      <c r="Z38" s="12"/>
      <c r="AA38" s="12"/>
      <c r="AB38" s="12"/>
    </row>
    <row r="39" spans="1:28" ht="15.95" customHeight="1" x14ac:dyDescent="0.2">
      <c r="A39" s="3"/>
      <c r="B39" s="3"/>
      <c r="C39" s="3"/>
      <c r="U39" s="12"/>
      <c r="V39" s="13"/>
      <c r="W39" s="13"/>
      <c r="X39" s="12"/>
      <c r="Y39" s="12"/>
      <c r="Z39" s="12"/>
      <c r="AA39" s="12"/>
      <c r="AB39" s="12"/>
    </row>
    <row r="40" spans="1:28" ht="15.95" customHeight="1" x14ac:dyDescent="0.2">
      <c r="A40" s="3"/>
      <c r="B40" s="3"/>
      <c r="C40" s="3"/>
      <c r="U40" s="12"/>
      <c r="V40" s="13"/>
      <c r="W40" s="13"/>
      <c r="X40" s="12"/>
      <c r="Y40" s="12"/>
      <c r="Z40" s="12"/>
      <c r="AA40" s="12"/>
      <c r="AB40" s="12"/>
    </row>
    <row r="41" spans="1:28" ht="15.95" customHeight="1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  <c r="J43" s="19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</sheetData>
  <sheetProtection formatCells="0" formatColumns="0" formatRows="0"/>
  <mergeCells count="34">
    <mergeCell ref="A34:Q34"/>
    <mergeCell ref="A20:T20"/>
    <mergeCell ref="A33:Q33"/>
    <mergeCell ref="R16:S16"/>
    <mergeCell ref="A15:T15"/>
    <mergeCell ref="A19:C19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  <mergeCell ref="F16:J16"/>
    <mergeCell ref="L16:P16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533-1976-4FA9-AFE8-3730D16359B2}">
  <sheetPr>
    <pageSetUpPr fitToPage="1"/>
  </sheetPr>
  <dimension ref="A1:AB472"/>
  <sheetViews>
    <sheetView topLeftCell="A22" zoomScale="130" zoomScaleNormal="130" workbookViewId="0">
      <selection activeCell="Z37" sqref="Z37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1.75" customHeight="1" x14ac:dyDescent="0.3">
      <c r="A8" s="20" t="s">
        <v>4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</row>
    <row r="9" spans="1:28" ht="18" customHeight="1" x14ac:dyDescent="0.2">
      <c r="A9" s="21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3" t="s">
        <v>10</v>
      </c>
      <c r="L11" s="103"/>
      <c r="M11" s="103"/>
      <c r="N11" s="105"/>
      <c r="O11" s="105"/>
      <c r="P11" s="105"/>
      <c r="Q11" s="105"/>
      <c r="R11" s="105"/>
      <c r="S11" s="105"/>
      <c r="T11" s="105"/>
      <c r="U11" s="26" t="s">
        <v>12</v>
      </c>
      <c r="V11" s="24"/>
      <c r="W11" s="3"/>
      <c r="X11" s="3"/>
      <c r="Y11" s="3"/>
      <c r="Z11" s="105"/>
      <c r="AA11" s="105"/>
      <c r="AB11" s="105"/>
    </row>
    <row r="12" spans="1:28" ht="12.75" customHeight="1" x14ac:dyDescent="0.2">
      <c r="A12" s="25" t="s">
        <v>14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16" t="s">
        <v>16</v>
      </c>
      <c r="L12" s="116"/>
      <c r="M12" s="116"/>
      <c r="N12" s="131"/>
      <c r="O12" s="131"/>
      <c r="P12" s="131"/>
      <c r="Q12" s="131"/>
      <c r="R12" s="131"/>
      <c r="S12" s="131"/>
      <c r="T12" s="131"/>
      <c r="U12" s="26" t="s">
        <v>18</v>
      </c>
      <c r="V12" s="3"/>
      <c r="W12" s="27"/>
      <c r="X12" s="27"/>
      <c r="Y12" s="27"/>
      <c r="Z12" s="105"/>
      <c r="AA12" s="105"/>
      <c r="AB12" s="105"/>
    </row>
    <row r="13" spans="1:28" ht="12.75" customHeight="1" x14ac:dyDescent="0.2">
      <c r="A13" s="25" t="s">
        <v>20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19" t="s">
        <v>22</v>
      </c>
      <c r="L13" s="119"/>
      <c r="M13" s="119"/>
      <c r="N13" s="138"/>
      <c r="O13" s="138"/>
      <c r="P13" s="138"/>
      <c r="Q13" s="138"/>
      <c r="R13" s="138"/>
      <c r="S13" s="138"/>
      <c r="T13" s="138"/>
      <c r="U13" s="28" t="s">
        <v>23</v>
      </c>
      <c r="V13" s="3"/>
      <c r="W13" s="3"/>
      <c r="X13" s="3"/>
      <c r="Y13" s="3"/>
      <c r="Z13" s="105"/>
      <c r="AA13" s="105"/>
      <c r="AB13" s="105"/>
    </row>
    <row r="14" spans="1:28" ht="12" customHeight="1" x14ac:dyDescent="0.2">
      <c r="A14" s="25" t="s">
        <v>25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</row>
    <row r="15" spans="1:28" ht="21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 x14ac:dyDescent="0.2">
      <c r="A16" s="132"/>
      <c r="B16" s="133"/>
      <c r="C16" s="133"/>
      <c r="D16" s="13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2"/>
      <c r="R16" s="12"/>
      <c r="S16" s="12"/>
      <c r="T16" s="12"/>
      <c r="U16" s="12"/>
      <c r="V16" s="13"/>
      <c r="W16" s="13"/>
      <c r="X16" s="12"/>
      <c r="Y16" s="12"/>
      <c r="Z16" s="12"/>
      <c r="AA16" s="12"/>
      <c r="AB16" s="12"/>
    </row>
    <row r="17" spans="1:28" ht="15.75" customHeight="1" x14ac:dyDescent="0.2">
      <c r="A17" s="135"/>
      <c r="B17" s="136"/>
      <c r="C17" s="136"/>
      <c r="D17" s="13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17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2"/>
      <c r="Y18" s="12"/>
      <c r="Z18" s="12"/>
      <c r="AA18" s="12"/>
      <c r="AB18" s="12"/>
    </row>
    <row r="19" spans="1:28" ht="15.75" customHeight="1" x14ac:dyDescent="0.2">
      <c r="A19" s="15"/>
      <c r="B19" s="15"/>
      <c r="C19" s="15"/>
      <c r="D19" s="16"/>
      <c r="E19" s="17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3"/>
      <c r="X19" s="12"/>
      <c r="Y19" s="12"/>
      <c r="Z19" s="12"/>
      <c r="AA19" s="12"/>
      <c r="AB19" s="12"/>
    </row>
    <row r="20" spans="1:28" ht="15.75" customHeight="1" x14ac:dyDescent="0.2">
      <c r="A20" s="15"/>
      <c r="B20" s="15"/>
      <c r="C20" s="15"/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3"/>
      <c r="X20" s="12"/>
      <c r="Y20" s="12"/>
      <c r="Z20" s="12"/>
      <c r="AA20" s="12"/>
      <c r="AB20" s="12"/>
    </row>
    <row r="21" spans="1:28" ht="15.75" customHeight="1" x14ac:dyDescent="0.2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75" customHeight="1" x14ac:dyDescent="0.2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75" customHeight="1" x14ac:dyDescent="0.2">
      <c r="A23" s="15"/>
      <c r="B23" s="15"/>
      <c r="C23" s="15"/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3"/>
      <c r="X23" s="12"/>
      <c r="Y23" s="12"/>
      <c r="Z23" s="12"/>
      <c r="AA23" s="12"/>
      <c r="AB23" s="12"/>
    </row>
    <row r="24" spans="1:28" ht="15.75" customHeight="1" x14ac:dyDescent="0.2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75" customHeight="1" x14ac:dyDescent="0.2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75" customHeight="1" x14ac:dyDescent="0.2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7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7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7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75" customHeight="1" x14ac:dyDescent="0.2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5.75" customHeight="1" x14ac:dyDescent="0.2">
      <c r="A31" s="15"/>
      <c r="B31" s="15"/>
      <c r="C31" s="15"/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5.75" customHeight="1" x14ac:dyDescent="0.2">
      <c r="A33" s="15"/>
      <c r="B33" s="15"/>
      <c r="C33" s="15"/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</row>
    <row r="34" spans="1:28" ht="15.75" customHeight="1" x14ac:dyDescent="0.2">
      <c r="A34" s="15"/>
      <c r="B34" s="15"/>
      <c r="C34" s="15"/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</row>
    <row r="35" spans="1:28" ht="15.75" customHeight="1" x14ac:dyDescent="0.2">
      <c r="A35" s="15"/>
      <c r="B35" s="15"/>
      <c r="C35" s="15"/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</row>
    <row r="36" spans="1:28" ht="15.75" customHeight="1" x14ac:dyDescent="0.2">
      <c r="A36" s="15"/>
      <c r="B36" s="15"/>
      <c r="C36" s="15"/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</row>
    <row r="37" spans="1:28" ht="15.75" customHeight="1" x14ac:dyDescent="0.2">
      <c r="A37" s="15"/>
      <c r="B37" s="15"/>
      <c r="C37" s="15"/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</row>
    <row r="38" spans="1:28" x14ac:dyDescent="0.2">
      <c r="A38" s="15"/>
      <c r="B38" s="15"/>
      <c r="C38" s="15"/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</row>
    <row r="39" spans="1:28" x14ac:dyDescent="0.2">
      <c r="A39" s="15"/>
      <c r="B39" s="15"/>
      <c r="C39" s="15"/>
      <c r="D39" s="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</row>
    <row r="40" spans="1:28" x14ac:dyDescent="0.2">
      <c r="A40" s="15"/>
      <c r="B40" s="15"/>
      <c r="C40" s="15"/>
      <c r="D40" s="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10" x14ac:dyDescent="0.2">
      <c r="A49" s="3"/>
      <c r="B49" s="3"/>
      <c r="C49" s="3"/>
    </row>
    <row r="50" spans="1:10" x14ac:dyDescent="0.2">
      <c r="A50" s="3"/>
      <c r="B50" s="3"/>
      <c r="C50" s="3"/>
    </row>
    <row r="51" spans="1:10" x14ac:dyDescent="0.2">
      <c r="A51" s="3"/>
      <c r="B51" s="3"/>
      <c r="C51" s="3"/>
    </row>
    <row r="52" spans="1:10" x14ac:dyDescent="0.2">
      <c r="A52" s="3"/>
      <c r="B52" s="3"/>
      <c r="C52" s="3"/>
    </row>
    <row r="53" spans="1:10" x14ac:dyDescent="0.2">
      <c r="A53" s="3"/>
      <c r="B53" s="3"/>
      <c r="C53" s="3"/>
    </row>
    <row r="54" spans="1:10" x14ac:dyDescent="0.2">
      <c r="A54" s="3"/>
      <c r="B54" s="3"/>
      <c r="C54" s="3"/>
      <c r="J54" s="19"/>
    </row>
    <row r="55" spans="1:10" x14ac:dyDescent="0.2">
      <c r="A55" s="3"/>
      <c r="B55" s="3"/>
      <c r="C55" s="3"/>
    </row>
    <row r="56" spans="1:10" x14ac:dyDescent="0.2">
      <c r="A56" s="3"/>
      <c r="B56" s="3"/>
      <c r="C56" s="3"/>
    </row>
    <row r="57" spans="1:10" x14ac:dyDescent="0.2">
      <c r="A57" s="3"/>
      <c r="B57" s="3"/>
      <c r="C57" s="3"/>
    </row>
    <row r="58" spans="1:10" x14ac:dyDescent="0.2">
      <c r="A58" s="3"/>
      <c r="B58" s="3"/>
      <c r="C58" s="3"/>
    </row>
    <row r="59" spans="1:10" x14ac:dyDescent="0.2">
      <c r="A59" s="3"/>
      <c r="B59" s="3"/>
      <c r="C59" s="3"/>
    </row>
    <row r="60" spans="1:10" x14ac:dyDescent="0.2">
      <c r="A60" s="3"/>
      <c r="B60" s="3"/>
      <c r="C60" s="3"/>
    </row>
    <row r="61" spans="1:10" x14ac:dyDescent="0.2">
      <c r="A61" s="3"/>
      <c r="B61" s="3"/>
      <c r="C61" s="3"/>
    </row>
    <row r="62" spans="1:10" x14ac:dyDescent="0.2">
      <c r="A62" s="3"/>
      <c r="B62" s="3"/>
      <c r="C62" s="3"/>
    </row>
    <row r="63" spans="1:10" x14ac:dyDescent="0.2">
      <c r="A63" s="3"/>
      <c r="B63" s="3"/>
      <c r="C63" s="3"/>
    </row>
    <row r="64" spans="1:10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6">
    <mergeCell ref="B14:AB14"/>
    <mergeCell ref="A16:D16"/>
    <mergeCell ref="A17:D17"/>
    <mergeCell ref="A18:C18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6:N6"/>
    <mergeCell ref="A1:AB1"/>
    <mergeCell ref="A2:Z2"/>
    <mergeCell ref="A3:Z3"/>
    <mergeCell ref="A4:Z4"/>
    <mergeCell ref="A5:Z5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93D-33E7-4AB6-9D85-4662F0E7742B}">
  <dimension ref="A1:V60"/>
  <sheetViews>
    <sheetView topLeftCell="A14" workbookViewId="0">
      <selection activeCell="G56" sqref="G56"/>
    </sheetView>
  </sheetViews>
  <sheetFormatPr baseColWidth="10" defaultColWidth="11.42578125" defaultRowHeight="12.75" x14ac:dyDescent="0.2"/>
  <cols>
    <col min="1" max="22" width="8.85546875" customWidth="1"/>
  </cols>
  <sheetData>
    <row r="1" spans="1:22" x14ac:dyDescent="0.2">
      <c r="A1" s="140" t="s">
        <v>64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8"/>
      <c r="V1" s="8"/>
    </row>
    <row r="2" spans="1:22" x14ac:dyDescent="0.2">
      <c r="A2" s="140" t="s">
        <v>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8"/>
      <c r="V2" s="8"/>
    </row>
    <row r="3" spans="1:22" ht="18" x14ac:dyDescent="0.2">
      <c r="A3" s="141" t="s">
        <v>65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8"/>
      <c r="V3" s="8"/>
    </row>
    <row r="4" spans="1:22" ht="18.75" x14ac:dyDescent="0.25">
      <c r="A4" s="142" t="s">
        <v>66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0.25" x14ac:dyDescent="0.3">
      <c r="A6" s="8" t="s">
        <v>4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8"/>
      <c r="S6" s="8"/>
      <c r="T6" s="8"/>
      <c r="U6" s="8"/>
      <c r="V6" s="8"/>
    </row>
    <row r="7" spans="1:22" x14ac:dyDescent="0.2">
      <c r="A7" s="8" t="s">
        <v>6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8"/>
      <c r="S7" s="8"/>
      <c r="T7" s="8"/>
      <c r="U7" s="8"/>
      <c r="V7" s="8"/>
    </row>
    <row r="8" spans="1:22" x14ac:dyDescent="0.2">
      <c r="A8" s="8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8"/>
      <c r="S8" s="8"/>
      <c r="T8" s="8"/>
      <c r="U8" s="8"/>
      <c r="V8" s="8"/>
    </row>
    <row r="9" spans="1:22" x14ac:dyDescent="0.2">
      <c r="A9" s="8" t="s">
        <v>8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8"/>
      <c r="S9" s="8"/>
      <c r="T9" s="8"/>
      <c r="U9" s="8"/>
      <c r="V9" s="8"/>
    </row>
    <row r="10" spans="1:22" x14ac:dyDescent="0.2">
      <c r="A10" s="8" t="s">
        <v>25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8"/>
      <c r="S10" s="8"/>
      <c r="T10" s="8"/>
      <c r="U10" s="8"/>
      <c r="V10" s="8"/>
    </row>
    <row r="11" spans="1:22" x14ac:dyDescent="0.2">
      <c r="A11" s="8" t="s">
        <v>67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8"/>
      <c r="S11" s="8"/>
      <c r="T11" s="8"/>
      <c r="U11" s="8"/>
      <c r="V11" s="8"/>
    </row>
    <row r="12" spans="1:22" x14ac:dyDescent="0.2">
      <c r="A12" s="8" t="s">
        <v>20</v>
      </c>
      <c r="B12" s="143"/>
      <c r="C12" s="143"/>
      <c r="D12" s="143"/>
      <c r="E12" s="143"/>
      <c r="F12" s="143"/>
      <c r="G12" s="143"/>
      <c r="H12" s="143"/>
      <c r="I12" s="143"/>
      <c r="J12" s="145"/>
      <c r="K12" s="145"/>
      <c r="L12" s="145"/>
      <c r="M12" s="145"/>
      <c r="N12" s="139"/>
      <c r="O12" s="139"/>
      <c r="P12" s="139"/>
      <c r="Q12" s="139"/>
      <c r="R12" s="8"/>
      <c r="S12" s="8"/>
      <c r="T12" s="8"/>
      <c r="U12" s="8"/>
      <c r="V12" s="8"/>
    </row>
    <row r="13" spans="1:22" x14ac:dyDescent="0.2">
      <c r="A13" s="8" t="s">
        <v>10</v>
      </c>
      <c r="B13" s="143"/>
      <c r="C13" s="143"/>
      <c r="D13" s="143"/>
      <c r="E13" s="143"/>
      <c r="F13" s="143"/>
      <c r="G13" s="143"/>
      <c r="H13" s="143"/>
      <c r="I13" s="143"/>
      <c r="J13" s="145"/>
      <c r="K13" s="145"/>
      <c r="L13" s="145"/>
      <c r="M13" s="145"/>
      <c r="N13" s="139"/>
      <c r="O13" s="139"/>
      <c r="P13" s="139"/>
      <c r="Q13" s="139"/>
      <c r="R13" s="8"/>
      <c r="S13" s="8"/>
      <c r="T13" s="8"/>
      <c r="U13" s="8"/>
      <c r="V13" s="8"/>
    </row>
    <row r="14" spans="1:22" x14ac:dyDescent="0.2">
      <c r="A14" s="29"/>
      <c r="B14" s="143"/>
      <c r="C14" s="143"/>
      <c r="D14" s="143"/>
      <c r="E14" s="143"/>
      <c r="F14" s="143"/>
      <c r="G14" s="143"/>
      <c r="H14" s="143"/>
      <c r="I14" s="143"/>
      <c r="J14" s="145"/>
      <c r="K14" s="145"/>
      <c r="L14" s="145"/>
      <c r="M14" s="145"/>
      <c r="N14" s="139"/>
      <c r="O14" s="139"/>
      <c r="P14" s="139"/>
      <c r="Q14" s="139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8" x14ac:dyDescent="0.25">
      <c r="A17" s="147" t="s">
        <v>27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9"/>
      <c r="U17" s="8"/>
      <c r="V17" s="8"/>
    </row>
    <row r="18" spans="1:22" ht="15" x14ac:dyDescent="0.25">
      <c r="A18" s="150" t="s">
        <v>28</v>
      </c>
      <c r="B18" s="151"/>
      <c r="C18" s="151"/>
      <c r="D18" s="152"/>
      <c r="E18" s="30" t="s">
        <v>29</v>
      </c>
      <c r="F18" s="153" t="s">
        <v>30</v>
      </c>
      <c r="G18" s="154"/>
      <c r="H18" s="154"/>
      <c r="I18" s="154"/>
      <c r="J18" s="155"/>
      <c r="K18" s="31" t="s">
        <v>31</v>
      </c>
      <c r="L18" s="153" t="s">
        <v>32</v>
      </c>
      <c r="M18" s="154"/>
      <c r="N18" s="154"/>
      <c r="O18" s="154"/>
      <c r="P18" s="155"/>
      <c r="Q18" s="32" t="s">
        <v>33</v>
      </c>
      <c r="R18" s="153" t="s">
        <v>31</v>
      </c>
      <c r="S18" s="155"/>
      <c r="T18" s="32" t="s">
        <v>34</v>
      </c>
      <c r="U18" s="8"/>
      <c r="V18" s="8"/>
    </row>
    <row r="19" spans="1:22" ht="15.75" x14ac:dyDescent="0.25">
      <c r="A19" s="156" t="s">
        <v>35</v>
      </c>
      <c r="B19" s="157"/>
      <c r="C19" s="157"/>
      <c r="D19" s="158"/>
      <c r="E19" s="33" t="s">
        <v>68</v>
      </c>
      <c r="F19" s="34" t="s">
        <v>69</v>
      </c>
      <c r="G19" s="35" t="s">
        <v>38</v>
      </c>
      <c r="H19" s="35" t="s">
        <v>39</v>
      </c>
      <c r="I19" s="35" t="s">
        <v>40</v>
      </c>
      <c r="J19" s="35" t="s">
        <v>41</v>
      </c>
      <c r="K19" s="32" t="s">
        <v>42</v>
      </c>
      <c r="L19" s="36" t="s">
        <v>43</v>
      </c>
      <c r="M19" s="37" t="s">
        <v>44</v>
      </c>
      <c r="N19" s="37" t="s">
        <v>45</v>
      </c>
      <c r="O19" s="37" t="s">
        <v>46</v>
      </c>
      <c r="P19" s="38" t="s">
        <v>47</v>
      </c>
      <c r="Q19" s="30" t="s">
        <v>48</v>
      </c>
      <c r="R19" s="39" t="s">
        <v>49</v>
      </c>
      <c r="S19" s="40" t="s">
        <v>50</v>
      </c>
      <c r="T19" s="30" t="s">
        <v>51</v>
      </c>
      <c r="U19" s="8"/>
      <c r="V19" s="8"/>
    </row>
    <row r="20" spans="1:22" x14ac:dyDescent="0.2">
      <c r="A20" s="159" t="s">
        <v>52</v>
      </c>
      <c r="B20" s="160"/>
      <c r="C20" s="161"/>
      <c r="D20" s="41" t="s">
        <v>53</v>
      </c>
      <c r="E20" s="33">
        <v>5.5</v>
      </c>
      <c r="F20" s="33">
        <v>0.5</v>
      </c>
      <c r="G20" s="35">
        <v>4</v>
      </c>
      <c r="H20" s="35">
        <v>1</v>
      </c>
      <c r="I20" s="35" t="s">
        <v>56</v>
      </c>
      <c r="J20" s="35">
        <v>5</v>
      </c>
      <c r="K20" s="42"/>
      <c r="L20" s="33">
        <v>10</v>
      </c>
      <c r="M20" s="35">
        <v>3</v>
      </c>
      <c r="N20" s="35">
        <v>1</v>
      </c>
      <c r="O20" s="35">
        <v>10</v>
      </c>
      <c r="P20" s="40">
        <v>5</v>
      </c>
      <c r="Q20" s="30" t="s">
        <v>57</v>
      </c>
      <c r="R20" s="33"/>
      <c r="S20" s="40"/>
      <c r="T20" s="30"/>
      <c r="U20" s="8"/>
      <c r="V20" s="8"/>
    </row>
    <row r="21" spans="1:22" x14ac:dyDescent="0.2">
      <c r="A21" s="162"/>
      <c r="B21" s="163"/>
      <c r="C21" s="163"/>
      <c r="D21" s="43"/>
      <c r="E21" s="44"/>
      <c r="F21" s="45"/>
      <c r="G21" s="45"/>
      <c r="H21" s="45"/>
      <c r="I21" s="45"/>
      <c r="J21" s="46"/>
      <c r="K21" s="44"/>
      <c r="L21" s="47"/>
      <c r="M21" s="48"/>
      <c r="N21" s="47"/>
      <c r="O21" s="47"/>
      <c r="P21" s="49"/>
      <c r="Q21" s="44"/>
      <c r="R21" s="50"/>
      <c r="S21" s="51"/>
      <c r="T21" s="44"/>
      <c r="U21" s="8"/>
      <c r="V21" s="8"/>
    </row>
    <row r="22" spans="1:22" ht="13.5" x14ac:dyDescent="0.25">
      <c r="A22" s="52"/>
      <c r="B22" s="52"/>
      <c r="C22" s="52"/>
      <c r="D22" s="53"/>
      <c r="E22" s="54"/>
      <c r="F22" s="55"/>
      <c r="G22" s="55"/>
      <c r="H22" s="56"/>
      <c r="I22" s="55"/>
      <c r="J22" s="57"/>
      <c r="K22" s="54"/>
      <c r="L22" s="58"/>
      <c r="M22" s="54"/>
      <c r="N22" s="59"/>
      <c r="O22" s="59"/>
      <c r="P22" s="59"/>
      <c r="Q22" s="54"/>
      <c r="R22" s="56"/>
      <c r="S22" s="55"/>
      <c r="T22" s="60"/>
      <c r="U22" s="8"/>
      <c r="V22" s="61"/>
    </row>
    <row r="23" spans="1:22" ht="13.5" x14ac:dyDescent="0.25">
      <c r="A23" s="52"/>
      <c r="B23" s="52"/>
      <c r="C23" s="52"/>
      <c r="D23" s="53"/>
      <c r="E23" s="54"/>
      <c r="F23" s="164" t="s">
        <v>70</v>
      </c>
      <c r="G23" s="165"/>
      <c r="H23" s="165"/>
      <c r="I23" s="166"/>
      <c r="J23" s="57"/>
      <c r="K23" s="54"/>
      <c r="L23" s="58"/>
      <c r="M23" s="54"/>
      <c r="N23" s="59"/>
      <c r="O23" s="59"/>
      <c r="P23" s="59"/>
      <c r="Q23" s="54"/>
      <c r="R23" s="56"/>
      <c r="S23" s="55"/>
      <c r="T23" s="60"/>
      <c r="U23" s="8"/>
      <c r="V23" s="61"/>
    </row>
    <row r="24" spans="1:22" ht="13.5" x14ac:dyDescent="0.25">
      <c r="A24" s="52"/>
      <c r="B24" s="52"/>
      <c r="C24" s="52"/>
      <c r="D24" s="53"/>
      <c r="E24" s="54"/>
      <c r="F24" s="62" t="s">
        <v>71</v>
      </c>
      <c r="G24" s="63" t="s">
        <v>72</v>
      </c>
      <c r="H24" s="63" t="s">
        <v>73</v>
      </c>
      <c r="I24" s="64" t="s">
        <v>74</v>
      </c>
      <c r="J24" s="57"/>
      <c r="K24" s="54"/>
      <c r="L24" s="58"/>
      <c r="M24" s="54"/>
      <c r="N24" s="59"/>
      <c r="O24" s="59"/>
      <c r="P24" s="59"/>
      <c r="Q24" s="54"/>
      <c r="R24" s="56"/>
      <c r="S24" s="55"/>
      <c r="T24" s="60"/>
      <c r="U24" s="8"/>
      <c r="V24" s="61"/>
    </row>
    <row r="25" spans="1:22" ht="13.5" x14ac:dyDescent="0.25">
      <c r="A25" s="52"/>
      <c r="B25" s="167" t="s">
        <v>52</v>
      </c>
      <c r="C25" s="168"/>
      <c r="D25" s="169"/>
      <c r="E25" s="30" t="s">
        <v>53</v>
      </c>
      <c r="F25" s="65" t="s">
        <v>75</v>
      </c>
      <c r="G25" s="66" t="s">
        <v>76</v>
      </c>
      <c r="H25" s="66" t="s">
        <v>77</v>
      </c>
      <c r="I25" s="67" t="s">
        <v>78</v>
      </c>
      <c r="J25" s="57"/>
      <c r="K25" s="54"/>
      <c r="L25" s="58"/>
      <c r="M25" s="54"/>
      <c r="N25" s="59"/>
      <c r="O25" s="59"/>
      <c r="P25" s="59"/>
      <c r="Q25" s="54"/>
      <c r="R25" s="56"/>
      <c r="S25" s="55"/>
      <c r="T25" s="60"/>
      <c r="U25" s="8"/>
      <c r="V25" s="61"/>
    </row>
    <row r="26" spans="1:22" ht="13.5" x14ac:dyDescent="0.25">
      <c r="A26" s="52"/>
      <c r="B26" s="162"/>
      <c r="C26" s="163"/>
      <c r="D26" s="163"/>
      <c r="E26" s="43"/>
      <c r="F26" s="68" t="e">
        <f>+G21/H21</f>
        <v>#DIV/0!</v>
      </c>
      <c r="G26" s="69" t="e">
        <f>+(G21+H21)/I21</f>
        <v>#DIV/0!</v>
      </c>
      <c r="H26" s="69" t="e">
        <f>+G21/I21</f>
        <v>#DIV/0!</v>
      </c>
      <c r="I26" s="70" t="e">
        <f>+H21/I21</f>
        <v>#DIV/0!</v>
      </c>
      <c r="J26" s="57"/>
      <c r="K26" s="54"/>
      <c r="L26" s="58"/>
      <c r="M26" s="54"/>
      <c r="N26" s="59"/>
      <c r="O26" s="59"/>
      <c r="P26" s="59"/>
      <c r="Q26" s="54"/>
      <c r="R26" s="56"/>
      <c r="S26" s="55"/>
      <c r="T26" s="60"/>
      <c r="U26" s="8"/>
      <c r="V26" s="61"/>
    </row>
    <row r="27" spans="1:22" ht="13.5" x14ac:dyDescent="0.25">
      <c r="A27" s="52"/>
      <c r="B27" s="52"/>
      <c r="C27" s="52"/>
      <c r="D27" s="53"/>
      <c r="E27" s="54"/>
      <c r="F27" s="61"/>
      <c r="G27" s="71"/>
      <c r="H27" s="71"/>
      <c r="I27" s="61"/>
      <c r="J27" s="57"/>
      <c r="K27" s="54"/>
      <c r="L27" s="59"/>
      <c r="M27" s="54"/>
      <c r="N27" s="59"/>
      <c r="O27" s="59"/>
      <c r="P27" s="59"/>
      <c r="Q27" s="8"/>
      <c r="R27" s="8"/>
      <c r="S27" s="8"/>
      <c r="T27" s="8"/>
      <c r="U27" s="8"/>
      <c r="V27" s="8"/>
    </row>
    <row r="28" spans="1:22" ht="13.5" x14ac:dyDescent="0.25">
      <c r="A28" s="52"/>
      <c r="B28" s="52"/>
      <c r="C28" s="52"/>
      <c r="D28" s="53"/>
      <c r="E28" s="54"/>
      <c r="F28" s="55"/>
      <c r="G28" s="55"/>
      <c r="H28" s="55"/>
      <c r="I28" s="55"/>
      <c r="J28" s="57"/>
      <c r="K28" s="54"/>
      <c r="L28" s="59"/>
      <c r="M28" s="54"/>
      <c r="N28" s="59"/>
      <c r="O28" s="59"/>
      <c r="P28" s="59"/>
      <c r="Q28" s="8"/>
      <c r="R28" s="8"/>
      <c r="S28" s="8"/>
      <c r="T28" s="8"/>
      <c r="U28" s="8"/>
      <c r="V28" s="8"/>
    </row>
    <row r="29" spans="1:22" ht="13.5" x14ac:dyDescent="0.25">
      <c r="A29" s="52"/>
      <c r="B29" s="52"/>
      <c r="C29" s="52"/>
      <c r="D29" s="53"/>
      <c r="E29" s="54"/>
      <c r="F29" s="55"/>
      <c r="G29" s="55"/>
      <c r="H29" s="55"/>
      <c r="I29" s="55"/>
      <c r="J29" s="57"/>
      <c r="K29" s="54"/>
      <c r="L29" s="59"/>
      <c r="M29" s="54"/>
      <c r="N29" s="59"/>
      <c r="O29" s="59"/>
      <c r="P29" s="59"/>
      <c r="Q29" s="8"/>
      <c r="R29" s="8"/>
      <c r="S29" s="8"/>
      <c r="T29" s="8"/>
      <c r="U29" s="8"/>
      <c r="V29" s="8"/>
    </row>
    <row r="30" spans="1:22" ht="13.5" x14ac:dyDescent="0.25">
      <c r="A30" s="52"/>
      <c r="B30" s="52"/>
      <c r="C30" s="52"/>
      <c r="D30" s="53"/>
      <c r="E30" s="54"/>
      <c r="F30" s="55"/>
      <c r="G30" s="55"/>
      <c r="H30" s="55"/>
      <c r="I30" s="55"/>
      <c r="J30" s="57"/>
      <c r="K30" s="54"/>
      <c r="L30" s="59"/>
      <c r="M30" s="54"/>
      <c r="N30" s="59"/>
      <c r="O30" s="59"/>
      <c r="P30" s="59"/>
      <c r="Q30" s="8"/>
      <c r="R30" s="8"/>
      <c r="S30" s="8"/>
      <c r="T30" s="8"/>
      <c r="U30" s="8"/>
      <c r="V30" s="8"/>
    </row>
    <row r="31" spans="1:2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">
      <c r="A43" s="146" t="s">
        <v>79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8"/>
      <c r="V43" s="8"/>
    </row>
    <row r="44" spans="1:2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4.25" x14ac:dyDescent="0.2">
      <c r="A53" s="7" t="s">
        <v>80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</sheetData>
  <mergeCells count="31">
    <mergeCell ref="A43:T43"/>
    <mergeCell ref="A17:T17"/>
    <mergeCell ref="A18:D18"/>
    <mergeCell ref="F18:J18"/>
    <mergeCell ref="L18:P18"/>
    <mergeCell ref="R18:S18"/>
    <mergeCell ref="A19:D19"/>
    <mergeCell ref="A20:C20"/>
    <mergeCell ref="A21:C21"/>
    <mergeCell ref="F23:I23"/>
    <mergeCell ref="B25:D25"/>
    <mergeCell ref="B26:D26"/>
    <mergeCell ref="B13:I13"/>
    <mergeCell ref="J13:M13"/>
    <mergeCell ref="N13:Q13"/>
    <mergeCell ref="B14:I14"/>
    <mergeCell ref="J14:M14"/>
    <mergeCell ref="N14:Q14"/>
    <mergeCell ref="B8:Q8"/>
    <mergeCell ref="B9:Q9"/>
    <mergeCell ref="B10:Q10"/>
    <mergeCell ref="B11:Q11"/>
    <mergeCell ref="B12:I12"/>
    <mergeCell ref="J12:M12"/>
    <mergeCell ref="N12:Q12"/>
    <mergeCell ref="B7:Q7"/>
    <mergeCell ref="A1:T1"/>
    <mergeCell ref="A2:T2"/>
    <mergeCell ref="A3:T3"/>
    <mergeCell ref="A4:T4"/>
    <mergeCell ref="B6:Q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F7710DFE-4884-45CB-84F9-98265D0337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3CE214-DB21-4327-A8DC-D87E3E8E7A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255ABD-C031-4FA3-B0F1-1E2ED98507A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036eaf11-5a74-42e9-a09d-6613db23384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26-05166 - 26-05177</vt:lpstr>
      <vt:lpstr>Hoja2</vt:lpstr>
      <vt:lpstr>INTERPRETACION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BLANCO MONTERO</dc:creator>
  <cp:keywords/>
  <dc:description/>
  <cp:lastModifiedBy>MANUEL ANTONIO QUIROS MONGE</cp:lastModifiedBy>
  <cp:revision/>
  <dcterms:created xsi:type="dcterms:W3CDTF">2005-11-21T21:38:59Z</dcterms:created>
  <dcterms:modified xsi:type="dcterms:W3CDTF">2026-05-04T17:30:06Z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